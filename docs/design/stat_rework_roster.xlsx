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ributes" sheetId="1" state="visible" r:id="rId3"/>
    <sheet name="Skill templates" sheetId="2" state="visible" r:id="rId4"/>
    <sheet name="Race skills" sheetId="3" state="visible" r:id="rId5"/>
    <sheet name="Effective skills" sheetId="4" state="visible" r:id="rId6"/>
    <sheet name="Leg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<sst xmlns="http://schemas.openxmlformats.org/spreadsheetml/2006/main" count="253" uniqueCount="137">
  <si>
    <t xml:space="preserve">Race attributes — hand-authored (COMBAT_SPEC section 12, step 1)</t>
  </si>
  <si>
    <t xml:space="preserve">Blue cells are the only ones to edit here. Everything to the right of Loyalty is a formula derived from them, and every skill on the other sheets reads these values.</t>
  </si>
  <si>
    <t xml:space="preserve">Walk divisor</t>
  </si>
  <si>
    <t xml:space="preserve">10 = walk speeds step by 0.10 per point. 20 = 0.05 steps, closer to the old RACES.md values.</t>
  </si>
  <si>
    <t xml:space="preserve">Race</t>
  </si>
  <si>
    <t xml:space="preserve">Category</t>
  </si>
  <si>
    <t xml:space="preserve">Alignment</t>
  </si>
  <si>
    <t xml:space="preserve">Rarity</t>
  </si>
  <si>
    <t xml:space="preserve">Strength</t>
  </si>
  <si>
    <t xml:space="preserve">Dexterity</t>
  </si>
  <si>
    <t xml:space="preserve">Speed</t>
  </si>
  <si>
    <t xml:space="preserve">Endurance</t>
  </si>
  <si>
    <t xml:space="preserve">Intelligence</t>
  </si>
  <si>
    <t xml:space="preserve">Guile</t>
  </si>
  <si>
    <t xml:space="preserve">Perception</t>
  </si>
  <si>
    <t xml:space="preserve">Tact</t>
  </si>
  <si>
    <t xml:space="preserve">Loyalty</t>
  </si>
  <si>
    <t xml:space="preserve">max hp</t>
  </si>
  <si>
    <t xml:space="preserve">walk speed</t>
  </si>
  <si>
    <t xml:space="preserve">attack profile</t>
  </si>
  <si>
    <t xml:space="preserve">Human Peasant (ref)</t>
  </si>
  <si>
    <t xml:space="preserve">—</t>
  </si>
  <si>
    <t xml:space="preserve">Neutral</t>
  </si>
  <si>
    <t xml:space="preserve">not recruitable</t>
  </si>
  <si>
    <t xml:space="preserve">Skeleton Worker</t>
  </si>
  <si>
    <t xml:space="preserve">Labor</t>
  </si>
  <si>
    <t xml:space="preserve">Undead</t>
  </si>
  <si>
    <t xml:space="preserve">player-made</t>
  </si>
  <si>
    <t xml:space="preserve">Orc</t>
  </si>
  <si>
    <t xml:space="preserve">Warrior</t>
  </si>
  <si>
    <t xml:space="preserve">Evil</t>
  </si>
  <si>
    <t xml:space="preserve">Common</t>
  </si>
  <si>
    <t xml:space="preserve">Hobgoblin</t>
  </si>
  <si>
    <t xml:space="preserve">Uncommon</t>
  </si>
  <si>
    <t xml:space="preserve">Ogre</t>
  </si>
  <si>
    <t xml:space="preserve">Chaotic</t>
  </si>
  <si>
    <t xml:space="preserve">Troll</t>
  </si>
  <si>
    <t xml:space="preserve">Rare</t>
  </si>
  <si>
    <t xml:space="preserve">Gray Dwarf</t>
  </si>
  <si>
    <t xml:space="preserve">Economy</t>
  </si>
  <si>
    <t xml:space="preserve">Kobold</t>
  </si>
  <si>
    <t xml:space="preserve">Minotaur</t>
  </si>
  <si>
    <t xml:space="preserve">Mountain Dwarf</t>
  </si>
  <si>
    <t xml:space="preserve">Good</t>
  </si>
  <si>
    <t xml:space="preserve">Gnome</t>
  </si>
  <si>
    <t xml:space="preserve">Research</t>
  </si>
  <si>
    <t xml:space="preserve">Dark Elf</t>
  </si>
  <si>
    <t xml:space="preserve">High Elf</t>
  </si>
  <si>
    <t xml:space="preserve">Goblin</t>
  </si>
  <si>
    <t xml:space="preserve">Foraging</t>
  </si>
  <si>
    <t xml:space="preserve">Gnoll</t>
  </si>
  <si>
    <t xml:space="preserve">Halfling</t>
  </si>
  <si>
    <t xml:space="preserve">Human Outcast</t>
  </si>
  <si>
    <t xml:space="preserve">Versatile</t>
  </si>
  <si>
    <t xml:space="preserve">Ghoul</t>
  </si>
  <si>
    <t xml:space="preserve">Creatures &amp; villains — same nine attributes (COMBAT_SPEC amendment 2026-08-06, note 4)</t>
  </si>
  <si>
    <t xml:space="preserve">The Necromancer</t>
  </si>
  <si>
    <t xml:space="preserve">Villain</t>
  </si>
  <si>
    <t xml:space="preserve">the player</t>
  </si>
  <si>
    <t xml:space="preserve">Wolf</t>
  </si>
  <si>
    <t xml:space="preserve">Creature</t>
  </si>
  <si>
    <t xml:space="preserve">Wild</t>
  </si>
  <si>
    <t xml:space="preserve">wildlife</t>
  </si>
  <si>
    <t xml:space="preserve">Necromancer: End 6 keeps hp 20 and carry 6 (the R1 values); Int 7 → Arcane by rule. Wolf: Speed 8 → 1.3 = the shipped chase speed; End 5 → hp 18 = shipped MAX_HP; Int 2 is the arcane-vs-beast damage knob.</t>
  </si>
  <si>
    <t xml:space="preserve">Formulas</t>
  </si>
  <si>
    <t xml:space="preserve">max hp = 8 + Endurance x 2</t>
  </si>
  <si>
    <t xml:space="preserve">walk speed = 1.0 + (Speed - 5) / 10   — Speed 5 is one grid cell per second</t>
  </si>
  <si>
    <t xml:space="preserve">attack profile = highest of Strength / Dexterity / Intelligence, ties resolve Str &gt; Dex &gt; Int</t>
  </si>
  <si>
    <t xml:space="preserve">Human Peasant is the 1-10 reference and is not recruitable. Skeleton Worker is player-made and rolls no variance.</t>
  </si>
  <si>
    <t xml:space="preserve">Skill templates — hand-authored (COMBAT_SPEC section 12, step 2)</t>
  </si>
  <si>
    <t xml:space="preserve">Six templates replace 204 hand-picked skill numbers. A race takes a template and overrides only what its identity demands.</t>
  </si>
  <si>
    <t xml:space="preserve">Template</t>
  </si>
  <si>
    <t xml:space="preserve">Woodcutting</t>
  </si>
  <si>
    <t xml:space="preserve">Mining</t>
  </si>
  <si>
    <t xml:space="preserve">Hunting</t>
  </si>
  <si>
    <t xml:space="preserve">Fishing</t>
  </si>
  <si>
    <t xml:space="preserve">Crafting</t>
  </si>
  <si>
    <t xml:space="preserve">Trapper</t>
  </si>
  <si>
    <t xml:space="preserve">Scouting</t>
  </si>
  <si>
    <t xml:space="preserve">Mercantile</t>
  </si>
  <si>
    <t xml:space="preserve">Surgeon</t>
  </si>
  <si>
    <t xml:space="preserve">Leadership</t>
  </si>
  <si>
    <t xml:space="preserve">labor</t>
  </si>
  <si>
    <t xml:space="preserve">warrior</t>
  </si>
  <si>
    <t xml:space="preserve">miner</t>
  </si>
  <si>
    <t xml:space="preserve">forager</t>
  </si>
  <si>
    <t xml:space="preserve">scholar</t>
  </si>
  <si>
    <t xml:space="preserve">versatile</t>
  </si>
  <si>
    <t xml:space="preserve">Governing attribute per skill — one each, never two (COMBAT_SPEC section 2.2)</t>
  </si>
  <si>
    <t xml:space="preserve">governed by</t>
  </si>
  <si>
    <t xml:space="preserve">Baseline skills = template value, unless overridden</t>
  </si>
  <si>
    <t xml:space="preserve">Shaded cells are per-race overrides — the only hand-authored numbers here. Unshaded cells are live links to the template sheet, so editing a template moves every race using it.</t>
  </si>
  <si>
    <t xml:space="preserve">35 overrides across 17 races — everything else comes from six templates.</t>
  </si>
  <si>
    <t xml:space="preserve">Effective skill = baseline + FLOOR((governing attribute - 5) / 2)</t>
  </si>
  <si>
    <t xml:space="preserve">This is the number the game actually uses. Nothing here is hand-authored — change an attribute or a template and this sheet moves. The divisor is the main balance knob: /2 gives a -2..+2 swing, /3 narrows it to -1..+1.</t>
  </si>
  <si>
    <t xml:space="preserve">Divisor</t>
  </si>
  <si>
    <t xml:space="preserve">&lt;- edit this to compare /2 against /3</t>
  </si>
  <si>
    <t xml:space="preserve">Profile</t>
  </si>
  <si>
    <t xml:space="preserve">Reading this sheet</t>
  </si>
  <si>
    <t xml:space="preserve">A Gray Dwarf's Mining should clearly beat a Skeleton Worker's — that gap is the whole reason to recruit one.</t>
  </si>
  <si>
    <t xml:space="preserve">An Ogre's Mining climbing near a dwarf's is intended: he hauls more per trip but eats 3.0 food to the dwarf's 1.0.</t>
  </si>
  <si>
    <t xml:space="preserve">Clamped to 1-10. The floor of 1 is NOT cosmetic: gather time is 4.0s x 5 / skill, so a 0 divides by zero,</t>
  </si>
  <si>
    <t xml:space="preserve">and a low template value plus a -2 attribute modifier reaches 0 easily (a Skeleton Worker's Research would be -1).</t>
  </si>
  <si>
    <t xml:space="preserve">How to use this workbook</t>
  </si>
  <si>
    <t xml:space="preserve">Colour</t>
  </si>
  <si>
    <t xml:space="preserve">Meaning</t>
  </si>
  <si>
    <t xml:space="preserve">Blue text</t>
  </si>
  <si>
    <t xml:space="preserve">Hand-authored input. These are the only cells to edit.</t>
  </si>
  <si>
    <t xml:space="preserve">Shaded + blue</t>
  </si>
  <si>
    <t xml:space="preserve">A per-race override on the Race skills sheet.</t>
  </si>
  <si>
    <t xml:space="preserve">Green text</t>
  </si>
  <si>
    <t xml:space="preserve">A live link to another sheet. Don't type over it.</t>
  </si>
  <si>
    <t xml:space="preserve">Black text</t>
  </si>
  <si>
    <t xml:space="preserve">A formula. Don't type over it.</t>
  </si>
  <si>
    <t xml:space="preserve">Yellow fill</t>
  </si>
  <si>
    <t xml:space="preserve">The derivation divisor on Effective skills — the main balance knob.</t>
  </si>
  <si>
    <t xml:space="preserve">Sheet</t>
  </si>
  <si>
    <t xml:space="preserve">What it is</t>
  </si>
  <si>
    <t xml:space="preserve">Attributes</t>
  </si>
  <si>
    <t xml:space="preserve">162 hand-authored values: 9 attributes x 18 races (the Ghoul added 2026-09-27, LIVING_WORLD L3). Step 1 of COMBAT_SPEC section 12.</t>
  </si>
  <si>
    <t xml:space="preserve">Skill templates</t>
  </si>
  <si>
    <t xml:space="preserve">Six templates x 12 skills, plus the governing-attribute map. Step 2.</t>
  </si>
  <si>
    <t xml:space="preserve">Race skills</t>
  </si>
  <si>
    <t xml:space="preserve">Template + overrides. Only the shaded cells were authored by hand.</t>
  </si>
  <si>
    <t xml:space="preserve">Effective skills</t>
  </si>
  <si>
    <t xml:space="preserve">What the game uses. Fully derived — nothing to edit but the divisor.</t>
  </si>
  <si>
    <t xml:space="preserve">Order of work</t>
  </si>
  <si>
    <t xml:space="preserve">1</t>
  </si>
  <si>
    <t xml:space="preserve">Edit Attributes until each race feels right. Watch max hp and attack profile update.</t>
  </si>
  <si>
    <t xml:space="preserve">2</t>
  </si>
  <si>
    <t xml:space="preserve">Edit Skill templates until each archetype feels right.</t>
  </si>
  <si>
    <t xml:space="preserve">3</t>
  </si>
  <si>
    <t xml:space="preserve">Add or remove overrides on Race skills only where a template genuinely fails a race.</t>
  </si>
  <si>
    <t xml:space="preserve">4</t>
  </si>
  <si>
    <t xml:space="preserve">Read Effective skills to check no race strictly dominates another.</t>
  </si>
  <si>
    <t xml:space="preserve">5</t>
  </si>
  <si>
    <t xml:space="preserve">Export to data/races.json. Templates and overrides should live in the JSON, not in code.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</si>
</sst>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B3B3B"/>
        <bgColor rgb="FF333300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12"/>
    <col collapsed="false" customWidth="true" hidden="false" outlineLevel="0" max="13" min="5" style="1" width="7.5"/>
    <col collapsed="false" customWidth="true" hidden="false" outlineLevel="0" max="16" min="14" style="1" width="1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Q2" s="4" t="s">
        <v>2</v>
      </c>
      <c r="R2" s="5" t="n">
        <v>10</v>
      </c>
      <c r="S2" s="3" t="s">
        <v>3</v>
      </c>
    </row>
    <row r="4" customFormat="false" ht="23.25" hidden="false" customHeight="true" outlineLevel="0" collapsed="false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</row>
    <row r="5" customFormat="false" ht="15" hidden="false" customHeight="true" outlineLevel="0" collapsed="false">
      <c r="A5" s="7" t="s">
        <v>20</v>
      </c>
      <c r="B5" s="7" t="s">
        <v>21</v>
      </c>
      <c r="C5" s="7" t="s">
        <v>22</v>
      </c>
      <c r="D5" s="7" t="s">
        <v>23</v>
      </c>
      <c r="E5" s="8" t="n">
        <v>5</v>
      </c>
      <c r="F5" s="8" t="n">
        <v>5</v>
      </c>
      <c r="G5" s="8" t="n">
        <v>5</v>
      </c>
      <c r="H5" s="8" t="n">
        <v>5</v>
      </c>
      <c r="I5" s="8" t="n">
        <v>5</v>
      </c>
      <c r="J5" s="8" t="n">
        <v>5</v>
      </c>
      <c r="K5" s="8" t="n">
        <v>5</v>
      </c>
      <c r="L5" s="8" t="n">
        <v>5</v>
      </c>
      <c r="M5" s="8" t="n">
        <v>5</v>
      </c>
      <c r="N5" s="9" t="n">
        <f aca="false">8+H5*2</f>
        <v>18</v>
      </c>
      <c r="O5" s="10" t="n">
        <f aca="false">1+(G5-5)/$R$2</f>
        <v>1</v>
      </c>
      <c r="P5" s="9" t="str">
        <f aca="false">IF(AND(E5&gt;=F5,E5&gt;=I5),"Melee",IF(F5&gt;=I5,"Ranged","Arcane"))</f>
        <v>Melee</v>
      </c>
    </row>
    <row r="6" customFormat="false" ht="15" hidden="false" customHeight="true" outlineLevel="0" collapsed="false">
      <c r="A6" s="11" t="s">
        <v>24</v>
      </c>
      <c r="B6" s="11" t="s">
        <v>25</v>
      </c>
      <c r="C6" s="11" t="s">
        <v>26</v>
      </c>
      <c r="D6" s="11" t="s">
        <v>27</v>
      </c>
      <c r="E6" s="12" t="n">
        <v>4</v>
      </c>
      <c r="F6" s="12" t="n">
        <v>2</v>
      </c>
      <c r="G6" s="12" t="n">
        <v>4</v>
      </c>
      <c r="H6" s="12" t="n">
        <v>4</v>
      </c>
      <c r="I6" s="12" t="n">
        <v>1</v>
      </c>
      <c r="J6" s="12" t="n">
        <v>1</v>
      </c>
      <c r="K6" s="12" t="n">
        <v>2</v>
      </c>
      <c r="L6" s="12" t="n">
        <v>1</v>
      </c>
      <c r="M6" s="12" t="n">
        <v>10</v>
      </c>
      <c r="N6" s="13" t="n">
        <f aca="false">8+H6*2</f>
        <v>16</v>
      </c>
      <c r="O6" s="14" t="n">
        <f aca="false">1+(G6-5)/$R$2</f>
        <v>0.9</v>
      </c>
      <c r="P6" s="13" t="str">
        <f aca="false">IF(AND(E6&gt;=F6,E6&gt;=I6),"Melee",IF(F6&gt;=I6,"Ranged","Arcane"))</f>
        <v>Melee</v>
      </c>
    </row>
    <row r="7" customFormat="false" ht="15" hidden="false" customHeight="true" outlineLevel="0" collapsed="false">
      <c r="A7" s="11" t="s">
        <v>28</v>
      </c>
      <c r="B7" s="11" t="s">
        <v>29</v>
      </c>
      <c r="C7" s="11" t="s">
        <v>30</v>
      </c>
      <c r="D7" s="11" t="s">
        <v>31</v>
      </c>
      <c r="E7" s="12" t="n">
        <v>7</v>
      </c>
      <c r="F7" s="12" t="n">
        <v>4</v>
      </c>
      <c r="G7" s="12" t="n">
        <v>5</v>
      </c>
      <c r="H7" s="12" t="n">
        <v>7</v>
      </c>
      <c r="I7" s="12" t="n">
        <v>3</v>
      </c>
      <c r="J7" s="12" t="n">
        <v>4</v>
      </c>
      <c r="K7" s="12" t="n">
        <v>4</v>
      </c>
      <c r="L7" s="12" t="n">
        <v>5</v>
      </c>
      <c r="M7" s="12" t="n">
        <v>5</v>
      </c>
      <c r="N7" s="13" t="n">
        <f aca="false">8+H7*2</f>
        <v>22</v>
      </c>
      <c r="O7" s="14" t="n">
        <f aca="false">1+(G7-5)/$R$2</f>
        <v>1</v>
      </c>
      <c r="P7" s="13" t="str">
        <f aca="false">IF(AND(E7&gt;=F7,E7&gt;=I7),"Melee",IF(F7&gt;=I7,"Ranged","Arcane"))</f>
        <v>Melee</v>
      </c>
    </row>
    <row r="8" customFormat="false" ht="15" hidden="false" customHeight="true" outlineLevel="0" collapsed="false">
      <c r="A8" s="11" t="s">
        <v>32</v>
      </c>
      <c r="B8" s="11" t="s">
        <v>29</v>
      </c>
      <c r="C8" s="11" t="s">
        <v>30</v>
      </c>
      <c r="D8" s="11" t="s">
        <v>33</v>
      </c>
      <c r="E8" s="12" t="n">
        <v>6</v>
      </c>
      <c r="F8" s="12" t="n">
        <v>5</v>
      </c>
      <c r="G8" s="12" t="n">
        <v>5</v>
      </c>
      <c r="H8" s="12" t="n">
        <v>6</v>
      </c>
      <c r="I8" s="12" t="n">
        <v>5</v>
      </c>
      <c r="J8" s="12" t="n">
        <v>5</v>
      </c>
      <c r="K8" s="12" t="n">
        <v>5</v>
      </c>
      <c r="L8" s="12" t="n">
        <v>7</v>
      </c>
      <c r="M8" s="12" t="n">
        <v>6</v>
      </c>
      <c r="N8" s="13" t="n">
        <f aca="false">8+H8*2</f>
        <v>20</v>
      </c>
      <c r="O8" s="14" t="n">
        <f aca="false">1+(G8-5)/$R$2</f>
        <v>1</v>
      </c>
      <c r="P8" s="13" t="str">
        <f aca="false">IF(AND(E8&gt;=F8,E8&gt;=I8),"Melee",IF(F8&gt;=I8,"Ranged","Arcane"))</f>
        <v>Melee</v>
      </c>
    </row>
    <row r="9" customFormat="false" ht="15" hidden="false" customHeight="true" outlineLevel="0" collapsed="false">
      <c r="A9" s="11" t="s">
        <v>34</v>
      </c>
      <c r="B9" s="11" t="s">
        <v>29</v>
      </c>
      <c r="C9" s="11" t="s">
        <v>35</v>
      </c>
      <c r="D9" s="11" t="s">
        <v>33</v>
      </c>
      <c r="E9" s="12" t="n">
        <v>9</v>
      </c>
      <c r="F9" s="12" t="n">
        <v>2</v>
      </c>
      <c r="G9" s="12" t="n">
        <v>3</v>
      </c>
      <c r="H9" s="12" t="n">
        <v>8</v>
      </c>
      <c r="I9" s="12" t="n">
        <v>2</v>
      </c>
      <c r="J9" s="12" t="n">
        <v>2</v>
      </c>
      <c r="K9" s="12" t="n">
        <v>2</v>
      </c>
      <c r="L9" s="12" t="n">
        <v>2</v>
      </c>
      <c r="M9" s="12" t="n">
        <v>4</v>
      </c>
      <c r="N9" s="13" t="n">
        <f aca="false">8+H9*2</f>
        <v>24</v>
      </c>
      <c r="O9" s="14" t="n">
        <f aca="false">1+(G9-5)/$R$2</f>
        <v>0.8</v>
      </c>
      <c r="P9" s="13" t="str">
        <f aca="false">IF(AND(E9&gt;=F9,E9&gt;=I9),"Melee",IF(F9&gt;=I9,"Ranged","Arcane"))</f>
        <v>Melee</v>
      </c>
    </row>
    <row r="10" customFormat="false" ht="15" hidden="false" customHeight="true" outlineLevel="0" collapsed="false">
      <c r="A10" s="11" t="s">
        <v>36</v>
      </c>
      <c r="B10" s="11" t="s">
        <v>29</v>
      </c>
      <c r="C10" s="11" t="s">
        <v>35</v>
      </c>
      <c r="D10" s="11" t="s">
        <v>37</v>
      </c>
      <c r="E10" s="12" t="n">
        <v>9</v>
      </c>
      <c r="F10" s="12" t="n">
        <v>3</v>
      </c>
      <c r="G10" s="12" t="n">
        <v>4</v>
      </c>
      <c r="H10" s="12" t="n">
        <v>9</v>
      </c>
      <c r="I10" s="12" t="n">
        <v>1</v>
      </c>
      <c r="J10" s="12" t="n">
        <v>2</v>
      </c>
      <c r="K10" s="12" t="n">
        <v>4</v>
      </c>
      <c r="L10" s="12" t="n">
        <v>1</v>
      </c>
      <c r="M10" s="12" t="n">
        <v>3</v>
      </c>
      <c r="N10" s="13" t="n">
        <f aca="false">8+H10*2</f>
        <v>26</v>
      </c>
      <c r="O10" s="14" t="n">
        <f aca="false">1+(G10-5)/$R$2</f>
        <v>0.9</v>
      </c>
      <c r="P10" s="13" t="str">
        <f aca="false">IF(AND(E10&gt;=F10,E10&gt;=I10),"Melee",IF(F10&gt;=I10,"Ranged","Arcane"))</f>
        <v>Melee</v>
      </c>
    </row>
    <row r="11" customFormat="false" ht="15" hidden="false" customHeight="true" outlineLevel="0" collapsed="false">
      <c r="A11" s="11" t="s">
        <v>38</v>
      </c>
      <c r="B11" s="11" t="s">
        <v>39</v>
      </c>
      <c r="C11" s="11" t="s">
        <v>30</v>
      </c>
      <c r="D11" s="11" t="s">
        <v>33</v>
      </c>
      <c r="E11" s="12" t="n">
        <v>6</v>
      </c>
      <c r="F11" s="12" t="n">
        <v>6</v>
      </c>
      <c r="G11" s="12" t="n">
        <v>4</v>
      </c>
      <c r="H11" s="12" t="n">
        <v>7</v>
      </c>
      <c r="I11" s="12" t="n">
        <v>5</v>
      </c>
      <c r="J11" s="12" t="n">
        <v>4</v>
      </c>
      <c r="K11" s="12" t="n">
        <v>4</v>
      </c>
      <c r="L11" s="12" t="n">
        <v>5</v>
      </c>
      <c r="M11" s="12" t="n">
        <v>6</v>
      </c>
      <c r="N11" s="13" t="n">
        <f aca="false">8+H11*2</f>
        <v>22</v>
      </c>
      <c r="O11" s="14" t="n">
        <f aca="false">1+(G11-5)/$R$2</f>
        <v>0.9</v>
      </c>
      <c r="P11" s="13" t="str">
        <f aca="false">IF(AND(E11&gt;=F11,E11&gt;=I11),"Melee",IF(F11&gt;=I11,"Ranged","Arcane"))</f>
        <v>Melee</v>
      </c>
    </row>
    <row r="12" customFormat="false" ht="15" hidden="false" customHeight="true" outlineLevel="0" collapsed="false">
      <c r="A12" s="11" t="s">
        <v>40</v>
      </c>
      <c r="B12" s="11" t="s">
        <v>39</v>
      </c>
      <c r="C12" s="11" t="s">
        <v>35</v>
      </c>
      <c r="D12" s="11" t="s">
        <v>31</v>
      </c>
      <c r="E12" s="12" t="n">
        <v>2</v>
      </c>
      <c r="F12" s="12" t="n">
        <v>6</v>
      </c>
      <c r="G12" s="12" t="n">
        <v>6</v>
      </c>
      <c r="H12" s="12" t="n">
        <v>3</v>
      </c>
      <c r="I12" s="12" t="n">
        <v>4</v>
      </c>
      <c r="J12" s="12" t="n">
        <v>6</v>
      </c>
      <c r="K12" s="12" t="n">
        <v>5</v>
      </c>
      <c r="L12" s="12" t="n">
        <v>4</v>
      </c>
      <c r="M12" s="12" t="n">
        <v>4</v>
      </c>
      <c r="N12" s="13" t="n">
        <f aca="false">8+H12*2</f>
        <v>14</v>
      </c>
      <c r="O12" s="14" t="n">
        <f aca="false">1+(G12-5)/$R$2</f>
        <v>1.1</v>
      </c>
      <c r="P12" s="13" t="str">
        <f aca="false">IF(AND(E12&gt;=F12,E12&gt;=I12),"Melee",IF(F12&gt;=I12,"Ranged","Arcane"))</f>
        <v>Ranged</v>
      </c>
    </row>
    <row r="13" customFormat="false" ht="15" hidden="false" customHeight="true" outlineLevel="0" collapsed="false">
      <c r="A13" s="11" t="s">
        <v>41</v>
      </c>
      <c r="B13" s="11" t="s">
        <v>39</v>
      </c>
      <c r="C13" s="11" t="s">
        <v>22</v>
      </c>
      <c r="D13" s="11" t="s">
        <v>33</v>
      </c>
      <c r="E13" s="12" t="n">
        <v>8</v>
      </c>
      <c r="F13" s="12" t="n">
        <v>3</v>
      </c>
      <c r="G13" s="12" t="n">
        <v>6</v>
      </c>
      <c r="H13" s="12" t="n">
        <v>8</v>
      </c>
      <c r="I13" s="12" t="n">
        <v>4</v>
      </c>
      <c r="J13" s="12" t="n">
        <v>3</v>
      </c>
      <c r="K13" s="12" t="n">
        <v>3</v>
      </c>
      <c r="L13" s="12" t="n">
        <v>5</v>
      </c>
      <c r="M13" s="12" t="n">
        <v>5</v>
      </c>
      <c r="N13" s="13" t="n">
        <f aca="false">8+H13*2</f>
        <v>24</v>
      </c>
      <c r="O13" s="14" t="n">
        <f aca="false">1+(G13-5)/$R$2</f>
        <v>1.1</v>
      </c>
      <c r="P13" s="13" t="str">
        <f aca="false">IF(AND(E13&gt;=F13,E13&gt;=I13),"Melee",IF(F13&gt;=I13,"Ranged","Arcane"))</f>
        <v>Melee</v>
      </c>
    </row>
    <row r="14" customFormat="false" ht="15" hidden="false" customHeight="true" outlineLevel="0" collapsed="false">
      <c r="A14" s="11" t="s">
        <v>42</v>
      </c>
      <c r="B14" s="11" t="s">
        <v>39</v>
      </c>
      <c r="C14" s="11" t="s">
        <v>43</v>
      </c>
      <c r="D14" s="11" t="s">
        <v>37</v>
      </c>
      <c r="E14" s="12" t="n">
        <v>6</v>
      </c>
      <c r="F14" s="12" t="n">
        <v>6</v>
      </c>
      <c r="G14" s="12" t="n">
        <v>4</v>
      </c>
      <c r="H14" s="12" t="n">
        <v>7</v>
      </c>
      <c r="I14" s="12" t="n">
        <v>6</v>
      </c>
      <c r="J14" s="12" t="n">
        <v>3</v>
      </c>
      <c r="K14" s="12" t="n">
        <v>4</v>
      </c>
      <c r="L14" s="12" t="n">
        <v>6</v>
      </c>
      <c r="M14" s="12" t="n">
        <v>7</v>
      </c>
      <c r="N14" s="13" t="n">
        <f aca="false">8+H14*2</f>
        <v>22</v>
      </c>
      <c r="O14" s="14" t="n">
        <f aca="false">1+(G14-5)/$R$2</f>
        <v>0.9</v>
      </c>
      <c r="P14" s="13" t="str">
        <f aca="false">IF(AND(E14&gt;=F14,E14&gt;=I14),"Melee",IF(F14&gt;=I14,"Ranged","Arcane"))</f>
        <v>Melee</v>
      </c>
    </row>
    <row r="15" customFormat="false" ht="15" hidden="false" customHeight="true" outlineLevel="0" collapsed="false">
      <c r="A15" s="11" t="s">
        <v>44</v>
      </c>
      <c r="B15" s="11" t="s">
        <v>45</v>
      </c>
      <c r="C15" s="11" t="s">
        <v>22</v>
      </c>
      <c r="D15" s="11" t="s">
        <v>33</v>
      </c>
      <c r="E15" s="12" t="n">
        <v>2</v>
      </c>
      <c r="F15" s="12" t="n">
        <v>6</v>
      </c>
      <c r="G15" s="12" t="n">
        <v>4</v>
      </c>
      <c r="H15" s="12" t="n">
        <v>3</v>
      </c>
      <c r="I15" s="12" t="n">
        <v>8</v>
      </c>
      <c r="J15" s="12" t="n">
        <v>5</v>
      </c>
      <c r="K15" s="12" t="n">
        <v>6</v>
      </c>
      <c r="L15" s="12" t="n">
        <v>2</v>
      </c>
      <c r="M15" s="12" t="n">
        <v>5</v>
      </c>
      <c r="N15" s="13" t="n">
        <f aca="false">8+H15*2</f>
        <v>14</v>
      </c>
      <c r="O15" s="14" t="n">
        <f aca="false">1+(G15-5)/$R$2</f>
        <v>0.9</v>
      </c>
      <c r="P15" s="13" t="str">
        <f aca="false">IF(AND(E15&gt;=F15,E15&gt;=I15),"Melee",IF(F15&gt;=I15,"Ranged","Arcane"))</f>
        <v>Arcane</v>
      </c>
    </row>
    <row r="16" customFormat="false" ht="15" hidden="false" customHeight="true" outlineLevel="0" collapsed="false">
      <c r="A16" s="11" t="s">
        <v>46</v>
      </c>
      <c r="B16" s="11" t="s">
        <v>45</v>
      </c>
      <c r="C16" s="11" t="s">
        <v>30</v>
      </c>
      <c r="D16" s="11" t="s">
        <v>33</v>
      </c>
      <c r="E16" s="12" t="n">
        <v>4</v>
      </c>
      <c r="F16" s="12" t="n">
        <v>7</v>
      </c>
      <c r="G16" s="12" t="n">
        <v>6</v>
      </c>
      <c r="H16" s="12" t="n">
        <v>4</v>
      </c>
      <c r="I16" s="12" t="n">
        <v>7</v>
      </c>
      <c r="J16" s="12" t="n">
        <v>7</v>
      </c>
      <c r="K16" s="12" t="n">
        <v>7</v>
      </c>
      <c r="L16" s="12" t="n">
        <v>6</v>
      </c>
      <c r="M16" s="12" t="n">
        <v>4</v>
      </c>
      <c r="N16" s="13" t="n">
        <f aca="false">8+H16*2</f>
        <v>16</v>
      </c>
      <c r="O16" s="14" t="n">
        <f aca="false">1+(G16-5)/$R$2</f>
        <v>1.1</v>
      </c>
      <c r="P16" s="13" t="str">
        <f aca="false">IF(AND(E16&gt;=F16,E16&gt;=I16),"Melee",IF(F16&gt;=I16,"Ranged","Arcane"))</f>
        <v>Ranged</v>
      </c>
    </row>
    <row r="17" customFormat="false" ht="15" hidden="false" customHeight="true" outlineLevel="0" collapsed="false">
      <c r="A17" s="11" t="s">
        <v>47</v>
      </c>
      <c r="B17" s="11" t="s">
        <v>45</v>
      </c>
      <c r="C17" s="11" t="s">
        <v>43</v>
      </c>
      <c r="D17" s="11" t="s">
        <v>37</v>
      </c>
      <c r="E17" s="12" t="n">
        <v>4</v>
      </c>
      <c r="F17" s="12" t="n">
        <v>6</v>
      </c>
      <c r="G17" s="12" t="n">
        <v>6</v>
      </c>
      <c r="H17" s="12" t="n">
        <v>4</v>
      </c>
      <c r="I17" s="12" t="n">
        <v>8</v>
      </c>
      <c r="J17" s="12" t="n">
        <v>4</v>
      </c>
      <c r="K17" s="12" t="n">
        <v>8</v>
      </c>
      <c r="L17" s="12" t="n">
        <v>6</v>
      </c>
      <c r="M17" s="12" t="n">
        <v>5</v>
      </c>
      <c r="N17" s="13" t="n">
        <f aca="false">8+H17*2</f>
        <v>16</v>
      </c>
      <c r="O17" s="14" t="n">
        <f aca="false">1+(G17-5)/$R$2</f>
        <v>1.1</v>
      </c>
      <c r="P17" s="13" t="str">
        <f aca="false">IF(AND(E17&gt;=F17,E17&gt;=I17),"Melee",IF(F17&gt;=I17,"Ranged","Arcane"))</f>
        <v>Arcane</v>
      </c>
    </row>
    <row r="18" customFormat="false" ht="15" hidden="false" customHeight="true" outlineLevel="0" collapsed="false">
      <c r="A18" s="11" t="s">
        <v>48</v>
      </c>
      <c r="B18" s="11" t="s">
        <v>49</v>
      </c>
      <c r="C18" s="11" t="s">
        <v>35</v>
      </c>
      <c r="D18" s="11" t="s">
        <v>31</v>
      </c>
      <c r="E18" s="12" t="n">
        <v>3</v>
      </c>
      <c r="F18" s="12" t="n">
        <v>6</v>
      </c>
      <c r="G18" s="12" t="n">
        <v>7</v>
      </c>
      <c r="H18" s="12" t="n">
        <v>3</v>
      </c>
      <c r="I18" s="12" t="n">
        <v>4</v>
      </c>
      <c r="J18" s="12" t="n">
        <v>6</v>
      </c>
      <c r="K18" s="12" t="n">
        <v>6</v>
      </c>
      <c r="L18" s="12" t="n">
        <v>5</v>
      </c>
      <c r="M18" s="12" t="n">
        <v>3</v>
      </c>
      <c r="N18" s="13" t="n">
        <f aca="false">8+H18*2</f>
        <v>14</v>
      </c>
      <c r="O18" s="14" t="n">
        <f aca="false">1+(G18-5)/$R$2</f>
        <v>1.2</v>
      </c>
      <c r="P18" s="13" t="str">
        <f aca="false">IF(AND(E18&gt;=F18,E18&gt;=I18),"Melee",IF(F18&gt;=I18,"Ranged","Arcane"))</f>
        <v>Ranged</v>
      </c>
    </row>
    <row r="19" customFormat="false" ht="15" hidden="false" customHeight="true" outlineLevel="0" collapsed="false">
      <c r="A19" s="11" t="s">
        <v>50</v>
      </c>
      <c r="B19" s="11" t="s">
        <v>49</v>
      </c>
      <c r="C19" s="11" t="s">
        <v>35</v>
      </c>
      <c r="D19" s="11" t="s">
        <v>31</v>
      </c>
      <c r="E19" s="12" t="n">
        <v>5</v>
      </c>
      <c r="F19" s="12" t="n">
        <v>6</v>
      </c>
      <c r="G19" s="12" t="n">
        <v>7</v>
      </c>
      <c r="H19" s="12" t="n">
        <v>5</v>
      </c>
      <c r="I19" s="12" t="n">
        <v>3</v>
      </c>
      <c r="J19" s="12" t="n">
        <v>4</v>
      </c>
      <c r="K19" s="12" t="n">
        <v>7</v>
      </c>
      <c r="L19" s="12" t="n">
        <v>4</v>
      </c>
      <c r="M19" s="12" t="n">
        <v>4</v>
      </c>
      <c r="N19" s="13" t="n">
        <f aca="false">8+H19*2</f>
        <v>18</v>
      </c>
      <c r="O19" s="14" t="n">
        <f aca="false">1+(G19-5)/$R$2</f>
        <v>1.2</v>
      </c>
      <c r="P19" s="13" t="str">
        <f aca="false">IF(AND(E19&gt;=F19,E19&gt;=I19),"Melee",IF(F19&gt;=I19,"Ranged","Arcane"))</f>
        <v>Ranged</v>
      </c>
    </row>
    <row r="20" customFormat="false" ht="15" hidden="false" customHeight="true" outlineLevel="0" collapsed="false">
      <c r="A20" s="11" t="s">
        <v>51</v>
      </c>
      <c r="B20" s="11" t="s">
        <v>49</v>
      </c>
      <c r="C20" s="11" t="s">
        <v>43</v>
      </c>
      <c r="D20" s="11" t="s">
        <v>37</v>
      </c>
      <c r="E20" s="12" t="n">
        <v>3</v>
      </c>
      <c r="F20" s="12" t="n">
        <v>6</v>
      </c>
      <c r="G20" s="12" t="n">
        <v>5</v>
      </c>
      <c r="H20" s="12" t="n">
        <v>4</v>
      </c>
      <c r="I20" s="12" t="n">
        <v>5</v>
      </c>
      <c r="J20" s="12" t="n">
        <v>4</v>
      </c>
      <c r="K20" s="12" t="n">
        <v>7</v>
      </c>
      <c r="L20" s="12" t="n">
        <v>3</v>
      </c>
      <c r="M20" s="12" t="n">
        <v>6</v>
      </c>
      <c r="N20" s="13" t="n">
        <f aca="false">8+H20*2</f>
        <v>16</v>
      </c>
      <c r="O20" s="14" t="n">
        <f aca="false">1+(G20-5)/$R$2</f>
        <v>1</v>
      </c>
      <c r="P20" s="13" t="str">
        <f aca="false">IF(AND(E20&gt;=F20,E20&gt;=I20),"Melee",IF(F20&gt;=I20,"Ranged","Arcane"))</f>
        <v>Ranged</v>
      </c>
    </row>
    <row r="21" customFormat="false" ht="15" hidden="false" customHeight="true" outlineLevel="0" collapsed="false">
      <c r="A21" s="11" t="s">
        <v>52</v>
      </c>
      <c r="B21" s="11" t="s">
        <v>53</v>
      </c>
      <c r="C21" s="11" t="s">
        <v>22</v>
      </c>
      <c r="D21" s="11" t="s">
        <v>33</v>
      </c>
      <c r="E21" s="12" t="n">
        <v>5</v>
      </c>
      <c r="F21" s="12" t="n">
        <v>5</v>
      </c>
      <c r="G21" s="12" t="n">
        <v>5</v>
      </c>
      <c r="H21" s="12" t="n">
        <v>5</v>
      </c>
      <c r="I21" s="12" t="n">
        <v>5</v>
      </c>
      <c r="J21" s="12" t="n">
        <v>5</v>
      </c>
      <c r="K21" s="12" t="n">
        <v>5</v>
      </c>
      <c r="L21" s="12" t="n">
        <v>5</v>
      </c>
      <c r="M21" s="12" t="n">
        <v>5</v>
      </c>
      <c r="N21" s="13" t="n">
        <f aca="false">8+H21*2</f>
        <v>18</v>
      </c>
      <c r="O21" s="14" t="n">
        <f aca="false">1+(G21-5)/$R$2</f>
        <v>1</v>
      </c>
      <c r="P21" s="13" t="str">
        <f aca="false">IF(AND(E21&gt;=F21,E21&gt;=I21),"Melee",IF(F21&gt;=I21,"Ranged","Arcane"))</f>
        <v>Melee</v>
      </c>
    </row>
    <row r="22" customFormat="false" ht="15" hidden="false" customHeight="false" outlineLevel="0" collapsed="false">
      <c r="A22" s="11" t="s">
        <v>54</v>
      </c>
      <c r="B22" s="11" t="s">
        <v>29</v>
      </c>
      <c r="C22" s="11" t="s">
        <v>26</v>
      </c>
      <c r="D22" s="11" t="s">
        <v>27</v>
      </c>
      <c r="E22" s="12" t="n">
        <v>7</v>
      </c>
      <c r="F22" s="12" t="n">
        <v>3</v>
      </c>
      <c r="G22" s="12" t="n">
        <v>6</v>
      </c>
      <c r="H22" s="12" t="n">
        <v>6</v>
      </c>
      <c r="I22" s="12" t="n">
        <v>2</v>
      </c>
      <c r="J22" s="12" t="n">
        <v>2</v>
      </c>
      <c r="K22" s="12" t="n">
        <v>5</v>
      </c>
      <c r="L22" s="12" t="n">
        <v>1</v>
      </c>
      <c r="M22" s="12" t="n">
        <v>10</v>
      </c>
      <c r="N22" s="13" t="n">
        <f aca="false">8+H22*2</f>
        <v>20</v>
      </c>
      <c r="O22" s="14" t="n">
        <f aca="false">1+(G22-5)/$R$2</f>
        <v>1.1</v>
      </c>
      <c r="P22" s="13" t="str">
        <f aca="false">IF(AND(E22&gt;=F22,E22&gt;=I22),"Melee",IF(F22&gt;=I22,"Ranged","Arcane"))</f>
        <v>Melee</v>
      </c>
    </row>
    <row r="23" customFormat="false" ht="15" hidden="false" customHeight="true" outlineLevel="0" collapsed="false">
      <c r="A23" s="4" t="s">
        <v>55</v>
      </c>
    </row>
    <row r="24" customFormat="false" ht="15" hidden="false" customHeight="true" outlineLevel="0" collapsed="false">
      <c r="A24" s="15" t="s">
        <v>56</v>
      </c>
      <c r="B24" s="15" t="s">
        <v>57</v>
      </c>
      <c r="C24" s="15" t="s">
        <v>26</v>
      </c>
      <c r="D24" s="15" t="s">
        <v>58</v>
      </c>
      <c r="E24" s="16" t="n">
        <v>4</v>
      </c>
      <c r="F24" s="16" t="n">
        <v>4</v>
      </c>
      <c r="G24" s="16" t="n">
        <v>5</v>
      </c>
      <c r="H24" s="16" t="n">
        <v>6</v>
      </c>
      <c r="I24" s="16" t="n">
        <v>7</v>
      </c>
      <c r="J24" s="16" t="n">
        <v>6</v>
      </c>
      <c r="K24" s="16" t="n">
        <v>6</v>
      </c>
      <c r="L24" s="16" t="n">
        <v>5</v>
      </c>
      <c r="M24" s="15" t="s">
        <v>21</v>
      </c>
      <c r="N24" s="15" t="n">
        <f aca="false">8+H24*2</f>
        <v>20</v>
      </c>
      <c r="O24" s="15" t="n">
        <f aca="false">1+(G24-5)/$R$2</f>
        <v>1</v>
      </c>
      <c r="P24" s="15" t="str">
        <f aca="false">IF(AND(E24&gt;=F24,E24&gt;=I24),"Melee",IF(F24&gt;=I24,"Ranged","Arcane"))</f>
        <v>Arcane</v>
      </c>
    </row>
    <row r="25" customFormat="false" ht="15" hidden="false" customHeight="true" outlineLevel="0" collapsed="false">
      <c r="A25" s="15" t="s">
        <v>59</v>
      </c>
      <c r="B25" s="15" t="s">
        <v>60</v>
      </c>
      <c r="C25" s="15" t="s">
        <v>61</v>
      </c>
      <c r="D25" s="15" t="s">
        <v>62</v>
      </c>
      <c r="E25" s="16" t="n">
        <v>5</v>
      </c>
      <c r="F25" s="16" t="n">
        <v>3</v>
      </c>
      <c r="G25" s="16" t="n">
        <v>8</v>
      </c>
      <c r="H25" s="16" t="n">
        <v>5</v>
      </c>
      <c r="I25" s="16" t="n">
        <v>2</v>
      </c>
      <c r="J25" s="16" t="n">
        <v>3</v>
      </c>
      <c r="K25" s="16" t="n">
        <v>6</v>
      </c>
      <c r="L25" s="16" t="n">
        <v>2</v>
      </c>
      <c r="M25" s="16" t="n">
        <v>5</v>
      </c>
      <c r="N25" s="15" t="n">
        <f aca="false">8+H25*2</f>
        <v>18</v>
      </c>
      <c r="O25" s="15" t="n">
        <f aca="false">1+(G25-5)/$R$2</f>
        <v>1.3</v>
      </c>
      <c r="P25" s="15" t="str">
        <f aca="false">IF(AND(E25&gt;=F25,E25&gt;=I25),"Melee",IF(F25&gt;=I25,"Ranged","Arcane"))</f>
        <v>Melee</v>
      </c>
    </row>
    <row r="26" customFormat="false" ht="15" hidden="false" customHeight="true" outlineLevel="0" collapsed="false">
      <c r="A26" s="15" t="s">
        <v>63</v>
      </c>
    </row>
    <row r="27" customFormat="false" ht="15" hidden="false" customHeight="true" outlineLevel="0" collapsed="false">
      <c r="A27" s="4" t="s">
        <v>64</v>
      </c>
    </row>
    <row r="28" customFormat="false" ht="15" hidden="false" customHeight="true" outlineLevel="0" collapsed="false">
      <c r="A28" s="3" t="s">
        <v>65</v>
      </c>
    </row>
    <row r="29" customFormat="false" ht="15" hidden="false" customHeight="true" outlineLevel="0" collapsed="false">
      <c r="A29" s="3" t="s">
        <v>66</v>
      </c>
    </row>
    <row r="30" customFormat="false" ht="15" hidden="false" customHeight="true" outlineLevel="0" collapsed="false">
      <c r="A30" s="3" t="s">
        <v>67</v>
      </c>
    </row>
    <row r="31" customFormat="false" ht="15" hidden="false" customHeight="true" outlineLevel="0" collapsed="false">
      <c r="A31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0"/>
  </cols>
  <sheetData>
    <row r="1" customFormat="false" ht="15" hidden="false" customHeight="true" outlineLevel="0" collapsed="false">
      <c r="A1" s="2" t="s">
        <v>69</v>
      </c>
    </row>
    <row r="2" customFormat="false" ht="15" hidden="false" customHeight="true" outlineLevel="0" collapsed="false">
      <c r="A2" s="3" t="s">
        <v>70</v>
      </c>
    </row>
    <row r="4" customFormat="false" ht="23.25" hidden="false" customHeight="true" outlineLevel="0" collapsed="false">
      <c r="A4" s="6" t="s">
        <v>71</v>
      </c>
      <c r="B4" s="6" t="s">
        <v>72</v>
      </c>
      <c r="C4" s="6" t="s">
        <v>73</v>
      </c>
      <c r="D4" s="6" t="s">
        <v>49</v>
      </c>
      <c r="E4" s="6" t="s">
        <v>74</v>
      </c>
      <c r="F4" s="6" t="s">
        <v>75</v>
      </c>
      <c r="G4" s="6" t="s">
        <v>76</v>
      </c>
      <c r="H4" s="6" t="s">
        <v>77</v>
      </c>
      <c r="I4" s="6" t="s">
        <v>78</v>
      </c>
      <c r="J4" s="6" t="s">
        <v>79</v>
      </c>
      <c r="K4" s="6" t="s">
        <v>45</v>
      </c>
      <c r="L4" s="6" t="s">
        <v>80</v>
      </c>
      <c r="M4" s="6" t="s">
        <v>81</v>
      </c>
    </row>
    <row r="5" customFormat="false" ht="15" hidden="false" customHeight="true" outlineLevel="0" collapsed="false">
      <c r="A5" s="11" t="s">
        <v>82</v>
      </c>
      <c r="B5" s="12" t="n">
        <v>3</v>
      </c>
      <c r="C5" s="12" t="n">
        <v>3</v>
      </c>
      <c r="D5" s="12" t="n">
        <v>2</v>
      </c>
      <c r="E5" s="12" t="n">
        <v>1</v>
      </c>
      <c r="F5" s="12" t="n">
        <v>1</v>
      </c>
      <c r="G5" s="12" t="n">
        <v>1</v>
      </c>
      <c r="H5" s="12" t="n">
        <v>1</v>
      </c>
      <c r="I5" s="12" t="n">
        <v>1</v>
      </c>
      <c r="J5" s="12" t="n">
        <v>1</v>
      </c>
      <c r="K5" s="12" t="n">
        <v>1</v>
      </c>
      <c r="L5" s="12" t="n">
        <v>1</v>
      </c>
      <c r="M5" s="12" t="n">
        <v>1</v>
      </c>
    </row>
    <row r="6" customFormat="false" ht="15" hidden="false" customHeight="true" outlineLevel="0" collapsed="false">
      <c r="A6" s="11" t="s">
        <v>83</v>
      </c>
      <c r="B6" s="12" t="n">
        <v>5</v>
      </c>
      <c r="C6" s="12" t="n">
        <v>4</v>
      </c>
      <c r="D6" s="12" t="n">
        <v>3</v>
      </c>
      <c r="E6" s="12" t="n">
        <v>4</v>
      </c>
      <c r="F6" s="12" t="n">
        <v>2</v>
      </c>
      <c r="G6" s="12" t="n">
        <v>3</v>
      </c>
      <c r="H6" s="12" t="n">
        <v>3</v>
      </c>
      <c r="I6" s="12" t="n">
        <v>4</v>
      </c>
      <c r="J6" s="12" t="n">
        <v>3</v>
      </c>
      <c r="K6" s="12" t="n">
        <v>2</v>
      </c>
      <c r="L6" s="12" t="n">
        <v>2</v>
      </c>
      <c r="M6" s="12" t="n">
        <v>5</v>
      </c>
    </row>
    <row r="7" customFormat="false" ht="15" hidden="false" customHeight="true" outlineLevel="0" collapsed="false">
      <c r="A7" s="11" t="s">
        <v>84</v>
      </c>
      <c r="B7" s="12" t="n">
        <v>4</v>
      </c>
      <c r="C7" s="12" t="n">
        <v>8</v>
      </c>
      <c r="D7" s="12" t="n">
        <v>2</v>
      </c>
      <c r="E7" s="12" t="n">
        <v>2</v>
      </c>
      <c r="F7" s="12" t="n">
        <v>2</v>
      </c>
      <c r="G7" s="12" t="n">
        <v>5</v>
      </c>
      <c r="H7" s="12" t="n">
        <v>3</v>
      </c>
      <c r="I7" s="12" t="n">
        <v>3</v>
      </c>
      <c r="J7" s="12" t="n">
        <v>5</v>
      </c>
      <c r="K7" s="12" t="n">
        <v>3</v>
      </c>
      <c r="L7" s="12" t="n">
        <v>2</v>
      </c>
      <c r="M7" s="12" t="n">
        <v>4</v>
      </c>
    </row>
    <row r="8" customFormat="false" ht="15" hidden="false" customHeight="true" outlineLevel="0" collapsed="false">
      <c r="A8" s="11" t="s">
        <v>85</v>
      </c>
      <c r="B8" s="12" t="n">
        <v>3</v>
      </c>
      <c r="C8" s="12" t="n">
        <v>2</v>
      </c>
      <c r="D8" s="12" t="n">
        <v>8</v>
      </c>
      <c r="E8" s="12" t="n">
        <v>7</v>
      </c>
      <c r="F8" s="12" t="n">
        <v>6</v>
      </c>
      <c r="G8" s="12" t="n">
        <v>3</v>
      </c>
      <c r="H8" s="12" t="n">
        <v>6</v>
      </c>
      <c r="I8" s="12" t="n">
        <v>6</v>
      </c>
      <c r="J8" s="12" t="n">
        <v>3</v>
      </c>
      <c r="K8" s="12" t="n">
        <v>2</v>
      </c>
      <c r="L8" s="12" t="n">
        <v>3</v>
      </c>
      <c r="M8" s="12" t="n">
        <v>3</v>
      </c>
    </row>
    <row r="9" customFormat="false" ht="15" hidden="false" customHeight="true" outlineLevel="0" collapsed="false">
      <c r="A9" s="11" t="s">
        <v>86</v>
      </c>
      <c r="B9" s="12" t="n">
        <v>2</v>
      </c>
      <c r="C9" s="12" t="n">
        <v>3</v>
      </c>
      <c r="D9" s="12" t="n">
        <v>4</v>
      </c>
      <c r="E9" s="12" t="n">
        <v>3</v>
      </c>
      <c r="F9" s="12" t="n">
        <v>3</v>
      </c>
      <c r="G9" s="12" t="n">
        <v>5</v>
      </c>
      <c r="H9" s="12" t="n">
        <v>4</v>
      </c>
      <c r="I9" s="12" t="n">
        <v>5</v>
      </c>
      <c r="J9" s="12" t="n">
        <v>5</v>
      </c>
      <c r="K9" s="12" t="n">
        <v>8</v>
      </c>
      <c r="L9" s="12" t="n">
        <v>6</v>
      </c>
      <c r="M9" s="12" t="n">
        <v>4</v>
      </c>
    </row>
    <row r="10" customFormat="false" ht="15" hidden="false" customHeight="true" outlineLevel="0" collapsed="false">
      <c r="A10" s="11" t="s">
        <v>87</v>
      </c>
      <c r="B10" s="12" t="n">
        <v>5</v>
      </c>
      <c r="C10" s="12" t="n">
        <v>5</v>
      </c>
      <c r="D10" s="12" t="n">
        <v>5</v>
      </c>
      <c r="E10" s="12" t="n">
        <v>5</v>
      </c>
      <c r="F10" s="12" t="n">
        <v>5</v>
      </c>
      <c r="G10" s="12" t="n">
        <v>5</v>
      </c>
      <c r="H10" s="12" t="n">
        <v>5</v>
      </c>
      <c r="I10" s="12" t="n">
        <v>5</v>
      </c>
      <c r="J10" s="12" t="n">
        <v>5</v>
      </c>
      <c r="K10" s="12" t="n">
        <v>5</v>
      </c>
      <c r="L10" s="12" t="n">
        <v>5</v>
      </c>
      <c r="M10" s="12" t="n">
        <v>5</v>
      </c>
    </row>
    <row r="13" customFormat="false" ht="15" hidden="false" customHeight="true" outlineLevel="0" collapsed="false">
      <c r="A13" s="4" t="s">
        <v>88</v>
      </c>
    </row>
    <row r="14" customFormat="false" ht="15" hidden="false" customHeight="true" outlineLevel="0" collapsed="false">
      <c r="A14" s="3" t="s">
        <v>89</v>
      </c>
      <c r="B14" s="17" t="s">
        <v>8</v>
      </c>
      <c r="C14" s="17" t="s">
        <v>8</v>
      </c>
      <c r="D14" s="17" t="s">
        <v>14</v>
      </c>
      <c r="E14" s="17" t="s">
        <v>9</v>
      </c>
      <c r="F14" s="17" t="s">
        <v>9</v>
      </c>
      <c r="G14" s="17" t="s">
        <v>9</v>
      </c>
      <c r="H14" s="17" t="s">
        <v>13</v>
      </c>
      <c r="I14" s="17" t="s">
        <v>14</v>
      </c>
      <c r="J14" s="17" t="s">
        <v>13</v>
      </c>
      <c r="K14" s="17" t="s">
        <v>12</v>
      </c>
      <c r="L14" s="17" t="s">
        <v>12</v>
      </c>
      <c r="M14" s="1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1"/>
    <col collapsed="false" customWidth="true" hidden="false" outlineLevel="0" max="14" min="3" style="1" width="10"/>
  </cols>
  <sheetData>
    <row r="1" customFormat="false" ht="15" hidden="false" customHeight="true" outlineLevel="0" collapsed="false">
      <c r="A1" s="2" t="s">
        <v>90</v>
      </c>
    </row>
    <row r="2" customFormat="false" ht="15" hidden="false" customHeight="true" outlineLevel="0" collapsed="false">
      <c r="A2" s="3" t="s">
        <v>91</v>
      </c>
    </row>
    <row r="4" customFormat="false" ht="23.25" hidden="false" customHeight="true" outlineLevel="0" collapsed="false">
      <c r="A4" s="6" t="s">
        <v>4</v>
      </c>
      <c r="B4" s="6" t="s">
        <v>71</v>
      </c>
      <c r="C4" s="6" t="s">
        <v>72</v>
      </c>
      <c r="D4" s="6" t="s">
        <v>73</v>
      </c>
      <c r="E4" s="6" t="s">
        <v>49</v>
      </c>
      <c r="F4" s="6" t="s">
        <v>74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45</v>
      </c>
      <c r="M4" s="6" t="s">
        <v>80</v>
      </c>
      <c r="N4" s="6" t="s">
        <v>81</v>
      </c>
    </row>
    <row r="5" customFormat="false" ht="15" hidden="false" customHeight="true" outlineLevel="0" collapsed="false">
      <c r="A5" s="11" t="s">
        <v>20</v>
      </c>
      <c r="B5" s="11" t="s">
        <v>87</v>
      </c>
      <c r="C5" s="18" t="n">
        <f aca="false">'Skill templates'!B10</f>
        <v>5</v>
      </c>
      <c r="D5" s="18" t="n">
        <f aca="false">'Skill templates'!C10</f>
        <v>5</v>
      </c>
      <c r="E5" s="18" t="n">
        <f aca="false">'Skill templates'!D10</f>
        <v>5</v>
      </c>
      <c r="F5" s="18" t="n">
        <f aca="false">'Skill templates'!E10</f>
        <v>5</v>
      </c>
      <c r="G5" s="18" t="n">
        <f aca="false">'Skill templates'!F10</f>
        <v>5</v>
      </c>
      <c r="H5" s="18" t="n">
        <f aca="false">'Skill templates'!G10</f>
        <v>5</v>
      </c>
      <c r="I5" s="18" t="n">
        <f aca="false">'Skill templates'!H10</f>
        <v>5</v>
      </c>
      <c r="J5" s="18" t="n">
        <f aca="false">'Skill templates'!I10</f>
        <v>5</v>
      </c>
      <c r="K5" s="18" t="n">
        <f aca="false">'Skill templates'!J10</f>
        <v>5</v>
      </c>
      <c r="L5" s="18" t="n">
        <f aca="false">'Skill templates'!K10</f>
        <v>5</v>
      </c>
      <c r="M5" s="18" t="n">
        <f aca="false">'Skill templates'!L10</f>
        <v>5</v>
      </c>
      <c r="N5" s="18" t="n">
        <f aca="false">'Skill templates'!M10</f>
        <v>5</v>
      </c>
    </row>
    <row r="6" customFormat="false" ht="15" hidden="false" customHeight="true" outlineLevel="0" collapsed="false">
      <c r="A6" s="11" t="s">
        <v>24</v>
      </c>
      <c r="B6" s="11" t="s">
        <v>82</v>
      </c>
      <c r="C6" s="18" t="n">
        <f aca="false">'Skill templates'!B5</f>
        <v>3</v>
      </c>
      <c r="D6" s="18" t="n">
        <f aca="false">'Skill templates'!C5</f>
        <v>3</v>
      </c>
      <c r="E6" s="18" t="n">
        <f aca="false">'Skill templates'!D5</f>
        <v>2</v>
      </c>
      <c r="F6" s="18" t="n">
        <f aca="false">'Skill templates'!E5</f>
        <v>1</v>
      </c>
      <c r="G6" s="18" t="n">
        <f aca="false">'Skill templates'!F5</f>
        <v>1</v>
      </c>
      <c r="H6" s="18" t="n">
        <f aca="false">'Skill templates'!G5</f>
        <v>1</v>
      </c>
      <c r="I6" s="18" t="n">
        <f aca="false">'Skill templates'!H5</f>
        <v>1</v>
      </c>
      <c r="J6" s="18" t="n">
        <f aca="false">'Skill templates'!I5</f>
        <v>1</v>
      </c>
      <c r="K6" s="18" t="n">
        <f aca="false">'Skill templates'!J5</f>
        <v>1</v>
      </c>
      <c r="L6" s="18" t="n">
        <f aca="false">'Skill templates'!K5</f>
        <v>1</v>
      </c>
      <c r="M6" s="18" t="n">
        <f aca="false">'Skill templates'!L5</f>
        <v>1</v>
      </c>
      <c r="N6" s="18" t="n">
        <f aca="false">'Skill templates'!M5</f>
        <v>1</v>
      </c>
    </row>
    <row r="7" customFormat="false" ht="15" hidden="false" customHeight="true" outlineLevel="0" collapsed="false">
      <c r="A7" s="11" t="s">
        <v>28</v>
      </c>
      <c r="B7" s="11" t="s">
        <v>83</v>
      </c>
      <c r="C7" s="18" t="n">
        <f aca="false">'Skill templates'!B6</f>
        <v>5</v>
      </c>
      <c r="D7" s="18" t="n">
        <f aca="false">'Skill templates'!C6</f>
        <v>4</v>
      </c>
      <c r="E7" s="19" t="n">
        <v>4</v>
      </c>
      <c r="F7" s="18" t="n">
        <f aca="false">'Skill templates'!E6</f>
        <v>4</v>
      </c>
      <c r="G7" s="18" t="n">
        <f aca="false">'Skill templates'!F6</f>
        <v>2</v>
      </c>
      <c r="H7" s="18" t="n">
        <f aca="false">'Skill templates'!G6</f>
        <v>3</v>
      </c>
      <c r="I7" s="18" t="n">
        <f aca="false">'Skill templates'!H6</f>
        <v>3</v>
      </c>
      <c r="J7" s="18" t="n">
        <f aca="false">'Skill templates'!I6</f>
        <v>4</v>
      </c>
      <c r="K7" s="18" t="n">
        <f aca="false">'Skill templates'!J6</f>
        <v>3</v>
      </c>
      <c r="L7" s="18" t="n">
        <f aca="false">'Skill templates'!K6</f>
        <v>2</v>
      </c>
      <c r="M7" s="18" t="n">
        <f aca="false">'Skill templates'!L6</f>
        <v>2</v>
      </c>
      <c r="N7" s="18" t="n">
        <f aca="false">'Skill templates'!M6</f>
        <v>5</v>
      </c>
    </row>
    <row r="8" customFormat="false" ht="15" hidden="false" customHeight="true" outlineLevel="0" collapsed="false">
      <c r="A8" s="11" t="s">
        <v>32</v>
      </c>
      <c r="B8" s="11" t="s">
        <v>83</v>
      </c>
      <c r="C8" s="18" t="n">
        <f aca="false">'Skill templates'!B6</f>
        <v>5</v>
      </c>
      <c r="D8" s="18" t="n">
        <f aca="false">'Skill templates'!C6</f>
        <v>4</v>
      </c>
      <c r="E8" s="18" t="n">
        <f aca="false">'Skill templates'!D6</f>
        <v>3</v>
      </c>
      <c r="F8" s="18" t="n">
        <f aca="false">'Skill templates'!E6</f>
        <v>4</v>
      </c>
      <c r="G8" s="18" t="n">
        <f aca="false">'Skill templates'!F6</f>
        <v>2</v>
      </c>
      <c r="H8" s="19" t="n">
        <v>4</v>
      </c>
      <c r="I8" s="18" t="n">
        <f aca="false">'Skill templates'!H6</f>
        <v>3</v>
      </c>
      <c r="J8" s="18" t="n">
        <f aca="false">'Skill templates'!I6</f>
        <v>4</v>
      </c>
      <c r="K8" s="18" t="n">
        <f aca="false">'Skill templates'!J6</f>
        <v>3</v>
      </c>
      <c r="L8" s="18" t="n">
        <f aca="false">'Skill templates'!K6</f>
        <v>2</v>
      </c>
      <c r="M8" s="18" t="n">
        <f aca="false">'Skill templates'!L6</f>
        <v>2</v>
      </c>
      <c r="N8" s="19" t="n">
        <v>7</v>
      </c>
    </row>
    <row r="9" customFormat="false" ht="15" hidden="false" customHeight="true" outlineLevel="0" collapsed="false">
      <c r="A9" s="11" t="s">
        <v>34</v>
      </c>
      <c r="B9" s="11" t="s">
        <v>83</v>
      </c>
      <c r="C9" s="19" t="n">
        <v>6</v>
      </c>
      <c r="D9" s="19" t="n">
        <v>6</v>
      </c>
      <c r="E9" s="18" t="n">
        <f aca="false">'Skill templates'!D6</f>
        <v>3</v>
      </c>
      <c r="F9" s="18" t="n">
        <f aca="false">'Skill templates'!E6</f>
        <v>4</v>
      </c>
      <c r="G9" s="18" t="n">
        <f aca="false">'Skill templates'!F6</f>
        <v>2</v>
      </c>
      <c r="H9" s="18" t="n">
        <f aca="false">'Skill templates'!G6</f>
        <v>3</v>
      </c>
      <c r="I9" s="18" t="n">
        <f aca="false">'Skill templates'!H6</f>
        <v>3</v>
      </c>
      <c r="J9" s="18" t="n">
        <f aca="false">'Skill templates'!I6</f>
        <v>4</v>
      </c>
      <c r="K9" s="18" t="n">
        <f aca="false">'Skill templates'!J6</f>
        <v>3</v>
      </c>
      <c r="L9" s="18" t="n">
        <f aca="false">'Skill templates'!K6</f>
        <v>2</v>
      </c>
      <c r="M9" s="18" t="n">
        <f aca="false">'Skill templates'!L6</f>
        <v>2</v>
      </c>
      <c r="N9" s="19" t="n">
        <v>1</v>
      </c>
    </row>
    <row r="10" customFormat="false" ht="15" hidden="false" customHeight="true" outlineLevel="0" collapsed="false">
      <c r="A10" s="11" t="s">
        <v>36</v>
      </c>
      <c r="B10" s="11" t="s">
        <v>83</v>
      </c>
      <c r="C10" s="18" t="n">
        <f aca="false">'Skill templates'!B6</f>
        <v>5</v>
      </c>
      <c r="D10" s="18" t="n">
        <f aca="false">'Skill templates'!C6</f>
        <v>4</v>
      </c>
      <c r="E10" s="19" t="n">
        <v>5</v>
      </c>
      <c r="F10" s="18" t="n">
        <f aca="false">'Skill templates'!E6</f>
        <v>4</v>
      </c>
      <c r="G10" s="18" t="n">
        <f aca="false">'Skill templates'!F6</f>
        <v>2</v>
      </c>
      <c r="H10" s="18" t="n">
        <f aca="false">'Skill templates'!G6</f>
        <v>3</v>
      </c>
      <c r="I10" s="18" t="n">
        <f aca="false">'Skill templates'!H6</f>
        <v>3</v>
      </c>
      <c r="J10" s="18" t="n">
        <f aca="false">'Skill templates'!I6</f>
        <v>4</v>
      </c>
      <c r="K10" s="18" t="n">
        <f aca="false">'Skill templates'!J6</f>
        <v>3</v>
      </c>
      <c r="L10" s="18" t="n">
        <f aca="false">'Skill templates'!K6</f>
        <v>2</v>
      </c>
      <c r="M10" s="19" t="n">
        <v>1</v>
      </c>
      <c r="N10" s="19" t="n">
        <v>1</v>
      </c>
    </row>
    <row r="11" customFormat="false" ht="15" hidden="false" customHeight="true" outlineLevel="0" collapsed="false">
      <c r="A11" s="11" t="s">
        <v>38</v>
      </c>
      <c r="B11" s="11" t="s">
        <v>84</v>
      </c>
      <c r="C11" s="18" t="n">
        <f aca="false">'Skill templates'!B7</f>
        <v>4</v>
      </c>
      <c r="D11" s="19" t="n">
        <v>9</v>
      </c>
      <c r="E11" s="18" t="n">
        <f aca="false">'Skill templates'!D7</f>
        <v>2</v>
      </c>
      <c r="F11" s="18" t="n">
        <f aca="false">'Skill templates'!E7</f>
        <v>2</v>
      </c>
      <c r="G11" s="18" t="n">
        <f aca="false">'Skill templates'!F7</f>
        <v>2</v>
      </c>
      <c r="H11" s="19" t="n">
        <v>7</v>
      </c>
      <c r="I11" s="18" t="n">
        <f aca="false">'Skill templates'!H7</f>
        <v>3</v>
      </c>
      <c r="J11" s="18" t="n">
        <f aca="false">'Skill templates'!I7</f>
        <v>3</v>
      </c>
      <c r="K11" s="18" t="n">
        <f aca="false">'Skill templates'!J7</f>
        <v>5</v>
      </c>
      <c r="L11" s="18" t="n">
        <f aca="false">'Skill templates'!K7</f>
        <v>3</v>
      </c>
      <c r="M11" s="18" t="n">
        <f aca="false">'Skill templates'!L7</f>
        <v>2</v>
      </c>
      <c r="N11" s="18" t="n">
        <f aca="false">'Skill templates'!M7</f>
        <v>4</v>
      </c>
    </row>
    <row r="12" customFormat="false" ht="15" hidden="false" customHeight="true" outlineLevel="0" collapsed="false">
      <c r="A12" s="11" t="s">
        <v>40</v>
      </c>
      <c r="B12" s="11" t="s">
        <v>84</v>
      </c>
      <c r="C12" s="18" t="n">
        <f aca="false">'Skill templates'!B7</f>
        <v>4</v>
      </c>
      <c r="D12" s="19" t="n">
        <v>6</v>
      </c>
      <c r="E12" s="18" t="n">
        <f aca="false">'Skill templates'!D7</f>
        <v>2</v>
      </c>
      <c r="F12" s="18" t="n">
        <f aca="false">'Skill templates'!E7</f>
        <v>2</v>
      </c>
      <c r="G12" s="18" t="n">
        <f aca="false">'Skill templates'!F7</f>
        <v>2</v>
      </c>
      <c r="H12" s="19" t="n">
        <v>4</v>
      </c>
      <c r="I12" s="19" t="n">
        <v>7</v>
      </c>
      <c r="J12" s="18" t="n">
        <f aca="false">'Skill templates'!I7</f>
        <v>3</v>
      </c>
      <c r="K12" s="19" t="n">
        <v>3</v>
      </c>
      <c r="L12" s="18" t="n">
        <f aca="false">'Skill templates'!K7</f>
        <v>3</v>
      </c>
      <c r="M12" s="18" t="n">
        <f aca="false">'Skill templates'!L7</f>
        <v>2</v>
      </c>
      <c r="N12" s="18" t="n">
        <f aca="false">'Skill templates'!M7</f>
        <v>4</v>
      </c>
    </row>
    <row r="13" customFormat="false" ht="15" hidden="false" customHeight="true" outlineLevel="0" collapsed="false">
      <c r="A13" s="11" t="s">
        <v>41</v>
      </c>
      <c r="B13" s="11" t="s">
        <v>84</v>
      </c>
      <c r="C13" s="19" t="n">
        <v>7</v>
      </c>
      <c r="D13" s="19" t="n">
        <v>7</v>
      </c>
      <c r="E13" s="18" t="n">
        <f aca="false">'Skill templates'!D7</f>
        <v>2</v>
      </c>
      <c r="F13" s="18" t="n">
        <f aca="false">'Skill templates'!E7</f>
        <v>2</v>
      </c>
      <c r="G13" s="18" t="n">
        <f aca="false">'Skill templates'!F7</f>
        <v>2</v>
      </c>
      <c r="H13" s="18" t="n">
        <f aca="false">'Skill templates'!G7</f>
        <v>5</v>
      </c>
      <c r="I13" s="18" t="n">
        <f aca="false">'Skill templates'!H7</f>
        <v>3</v>
      </c>
      <c r="J13" s="18" t="n">
        <f aca="false">'Skill templates'!I7</f>
        <v>3</v>
      </c>
      <c r="K13" s="19" t="n">
        <v>6</v>
      </c>
      <c r="L13" s="18" t="n">
        <f aca="false">'Skill templates'!K7</f>
        <v>3</v>
      </c>
      <c r="M13" s="18" t="n">
        <f aca="false">'Skill templates'!L7</f>
        <v>2</v>
      </c>
      <c r="N13" s="18" t="n">
        <f aca="false">'Skill templates'!M7</f>
        <v>4</v>
      </c>
    </row>
    <row r="14" customFormat="false" ht="15" hidden="false" customHeight="true" outlineLevel="0" collapsed="false">
      <c r="A14" s="11" t="s">
        <v>42</v>
      </c>
      <c r="B14" s="11" t="s">
        <v>84</v>
      </c>
      <c r="C14" s="18" t="n">
        <f aca="false">'Skill templates'!B7</f>
        <v>4</v>
      </c>
      <c r="D14" s="18" t="n">
        <f aca="false">'Skill templates'!C7</f>
        <v>8</v>
      </c>
      <c r="E14" s="18" t="n">
        <f aca="false">'Skill templates'!D7</f>
        <v>2</v>
      </c>
      <c r="F14" s="18" t="n">
        <f aca="false">'Skill templates'!E7</f>
        <v>2</v>
      </c>
      <c r="G14" s="18" t="n">
        <f aca="false">'Skill templates'!F7</f>
        <v>2</v>
      </c>
      <c r="H14" s="19" t="n">
        <v>7</v>
      </c>
      <c r="I14" s="18" t="n">
        <f aca="false">'Skill templates'!H7</f>
        <v>3</v>
      </c>
      <c r="J14" s="18" t="n">
        <f aca="false">'Skill templates'!I7</f>
        <v>3</v>
      </c>
      <c r="K14" s="18" t="n">
        <f aca="false">'Skill templates'!J7</f>
        <v>5</v>
      </c>
      <c r="L14" s="18" t="n">
        <f aca="false">'Skill templates'!K7</f>
        <v>3</v>
      </c>
      <c r="M14" s="18" t="n">
        <f aca="false">'Skill templates'!L7</f>
        <v>2</v>
      </c>
      <c r="N14" s="19" t="n">
        <v>5</v>
      </c>
    </row>
    <row r="15" customFormat="false" ht="15" hidden="false" customHeight="true" outlineLevel="0" collapsed="false">
      <c r="A15" s="11" t="s">
        <v>44</v>
      </c>
      <c r="B15" s="11" t="s">
        <v>86</v>
      </c>
      <c r="C15" s="18" t="n">
        <f aca="false">'Skill templates'!B9</f>
        <v>2</v>
      </c>
      <c r="D15" s="18" t="n">
        <f aca="false">'Skill templates'!C9</f>
        <v>3</v>
      </c>
      <c r="E15" s="18" t="n">
        <f aca="false">'Skill templates'!D9</f>
        <v>4</v>
      </c>
      <c r="F15" s="18" t="n">
        <f aca="false">'Skill templates'!E9</f>
        <v>3</v>
      </c>
      <c r="G15" s="18" t="n">
        <f aca="false">'Skill templates'!F9</f>
        <v>3</v>
      </c>
      <c r="H15" s="19" t="n">
        <v>6</v>
      </c>
      <c r="I15" s="19" t="n">
        <v>5</v>
      </c>
      <c r="J15" s="18" t="n">
        <f aca="false">'Skill templates'!I9</f>
        <v>5</v>
      </c>
      <c r="K15" s="18" t="n">
        <f aca="false">'Skill templates'!J9</f>
        <v>5</v>
      </c>
      <c r="L15" s="18" t="n">
        <f aca="false">'Skill templates'!K9</f>
        <v>8</v>
      </c>
      <c r="M15" s="18" t="n">
        <f aca="false">'Skill templates'!L9</f>
        <v>6</v>
      </c>
      <c r="N15" s="18" t="n">
        <f aca="false">'Skill templates'!M9</f>
        <v>4</v>
      </c>
    </row>
    <row r="16" customFormat="false" ht="15" hidden="false" customHeight="true" outlineLevel="0" collapsed="false">
      <c r="A16" s="11" t="s">
        <v>46</v>
      </c>
      <c r="B16" s="11" t="s">
        <v>86</v>
      </c>
      <c r="C16" s="18" t="n">
        <f aca="false">'Skill templates'!B9</f>
        <v>2</v>
      </c>
      <c r="D16" s="18" t="n">
        <f aca="false">'Skill templates'!C9</f>
        <v>3</v>
      </c>
      <c r="E16" s="18" t="n">
        <f aca="false">'Skill templates'!D9</f>
        <v>4</v>
      </c>
      <c r="F16" s="18" t="n">
        <f aca="false">'Skill templates'!E9</f>
        <v>3</v>
      </c>
      <c r="G16" s="18" t="n">
        <f aca="false">'Skill templates'!F9</f>
        <v>3</v>
      </c>
      <c r="H16" s="18" t="n">
        <f aca="false">'Skill templates'!G9</f>
        <v>5</v>
      </c>
      <c r="I16" s="19" t="n">
        <v>6</v>
      </c>
      <c r="J16" s="19" t="n">
        <v>7</v>
      </c>
      <c r="K16" s="18" t="n">
        <f aca="false">'Skill templates'!J9</f>
        <v>5</v>
      </c>
      <c r="L16" s="19" t="n">
        <v>7</v>
      </c>
      <c r="M16" s="18" t="n">
        <f aca="false">'Skill templates'!L9</f>
        <v>6</v>
      </c>
      <c r="N16" s="18" t="n">
        <f aca="false">'Skill templates'!M9</f>
        <v>4</v>
      </c>
    </row>
    <row r="17" customFormat="false" ht="15" hidden="false" customHeight="true" outlineLevel="0" collapsed="false">
      <c r="A17" s="11" t="s">
        <v>47</v>
      </c>
      <c r="B17" s="11" t="s">
        <v>86</v>
      </c>
      <c r="C17" s="18" t="n">
        <f aca="false">'Skill templates'!B9</f>
        <v>2</v>
      </c>
      <c r="D17" s="18" t="n">
        <f aca="false">'Skill templates'!C9</f>
        <v>3</v>
      </c>
      <c r="E17" s="19" t="n">
        <v>6</v>
      </c>
      <c r="F17" s="18" t="n">
        <f aca="false">'Skill templates'!E9</f>
        <v>3</v>
      </c>
      <c r="G17" s="18" t="n">
        <f aca="false">'Skill templates'!F9</f>
        <v>3</v>
      </c>
      <c r="H17" s="18" t="n">
        <f aca="false">'Skill templates'!G9</f>
        <v>5</v>
      </c>
      <c r="I17" s="18" t="n">
        <f aca="false">'Skill templates'!H9</f>
        <v>4</v>
      </c>
      <c r="J17" s="18" t="n">
        <f aca="false">'Skill templates'!I9</f>
        <v>5</v>
      </c>
      <c r="K17" s="18" t="n">
        <f aca="false">'Skill templates'!J9</f>
        <v>5</v>
      </c>
      <c r="L17" s="18" t="n">
        <f aca="false">'Skill templates'!K9</f>
        <v>8</v>
      </c>
      <c r="M17" s="19" t="n">
        <v>7</v>
      </c>
      <c r="N17" s="18" t="n">
        <f aca="false">'Skill templates'!M9</f>
        <v>4</v>
      </c>
    </row>
    <row r="18" customFormat="false" ht="15" hidden="false" customHeight="true" outlineLevel="0" collapsed="false">
      <c r="A18" s="11" t="s">
        <v>48</v>
      </c>
      <c r="B18" s="11" t="s">
        <v>85</v>
      </c>
      <c r="C18" s="18" t="n">
        <f aca="false">'Skill templates'!B8</f>
        <v>3</v>
      </c>
      <c r="D18" s="18" t="n">
        <f aca="false">'Skill templates'!C8</f>
        <v>2</v>
      </c>
      <c r="E18" s="18" t="n">
        <f aca="false">'Skill templates'!D8</f>
        <v>8</v>
      </c>
      <c r="F18" s="18" t="n">
        <f aca="false">'Skill templates'!E8</f>
        <v>7</v>
      </c>
      <c r="G18" s="18" t="n">
        <f aca="false">'Skill templates'!F8</f>
        <v>6</v>
      </c>
      <c r="H18" s="18" t="n">
        <f aca="false">'Skill templates'!G8</f>
        <v>3</v>
      </c>
      <c r="I18" s="19" t="n">
        <v>6</v>
      </c>
      <c r="J18" s="18" t="n">
        <f aca="false">'Skill templates'!I8</f>
        <v>6</v>
      </c>
      <c r="K18" s="19" t="n">
        <v>4</v>
      </c>
      <c r="L18" s="18" t="n">
        <f aca="false">'Skill templates'!K8</f>
        <v>2</v>
      </c>
      <c r="M18" s="18" t="n">
        <f aca="false">'Skill templates'!L8</f>
        <v>3</v>
      </c>
      <c r="N18" s="18" t="n">
        <f aca="false">'Skill templates'!M8</f>
        <v>3</v>
      </c>
    </row>
    <row r="19" customFormat="false" ht="15" hidden="false" customHeight="true" outlineLevel="0" collapsed="false">
      <c r="A19" s="11" t="s">
        <v>50</v>
      </c>
      <c r="B19" s="11" t="s">
        <v>85</v>
      </c>
      <c r="C19" s="18" t="n">
        <f aca="false">'Skill templates'!B8</f>
        <v>3</v>
      </c>
      <c r="D19" s="18" t="n">
        <f aca="false">'Skill templates'!C8</f>
        <v>2</v>
      </c>
      <c r="E19" s="19" t="n">
        <v>9</v>
      </c>
      <c r="F19" s="19" t="n">
        <v>8</v>
      </c>
      <c r="G19" s="18" t="n">
        <f aca="false">'Skill templates'!F8</f>
        <v>6</v>
      </c>
      <c r="H19" s="18" t="n">
        <f aca="false">'Skill templates'!G8</f>
        <v>3</v>
      </c>
      <c r="I19" s="18" t="n">
        <f aca="false">'Skill templates'!H8</f>
        <v>6</v>
      </c>
      <c r="J19" s="18" t="n">
        <f aca="false">'Skill templates'!I8</f>
        <v>6</v>
      </c>
      <c r="K19" s="18" t="n">
        <f aca="false">'Skill templates'!J8</f>
        <v>3</v>
      </c>
      <c r="L19" s="18" t="n">
        <f aca="false">'Skill templates'!K8</f>
        <v>2</v>
      </c>
      <c r="M19" s="18" t="n">
        <f aca="false">'Skill templates'!L8</f>
        <v>3</v>
      </c>
      <c r="N19" s="19" t="n">
        <v>2</v>
      </c>
    </row>
    <row r="20" customFormat="false" ht="15" hidden="false" customHeight="true" outlineLevel="0" collapsed="false">
      <c r="A20" s="11" t="s">
        <v>51</v>
      </c>
      <c r="B20" s="11" t="s">
        <v>85</v>
      </c>
      <c r="C20" s="18" t="n">
        <f aca="false">'Skill templates'!B8</f>
        <v>3</v>
      </c>
      <c r="D20" s="18" t="n">
        <f aca="false">'Skill templates'!C8</f>
        <v>2</v>
      </c>
      <c r="E20" s="18" t="n">
        <f aca="false">'Skill templates'!D8</f>
        <v>8</v>
      </c>
      <c r="F20" s="18" t="n">
        <f aca="false">'Skill templates'!E8</f>
        <v>7</v>
      </c>
      <c r="G20" s="19" t="n">
        <v>7</v>
      </c>
      <c r="H20" s="18" t="n">
        <f aca="false">'Skill templates'!G8</f>
        <v>3</v>
      </c>
      <c r="I20" s="18" t="n">
        <f aca="false">'Skill templates'!H8</f>
        <v>6</v>
      </c>
      <c r="J20" s="18" t="n">
        <f aca="false">'Skill templates'!I8</f>
        <v>6</v>
      </c>
      <c r="K20" s="19" t="n">
        <v>5</v>
      </c>
      <c r="L20" s="18" t="n">
        <f aca="false">'Skill templates'!K8</f>
        <v>2</v>
      </c>
      <c r="M20" s="19" t="n">
        <v>5</v>
      </c>
      <c r="N20" s="18" t="n">
        <f aca="false">'Skill templates'!M8</f>
        <v>3</v>
      </c>
    </row>
    <row r="21" customFormat="false" ht="15" hidden="false" customHeight="true" outlineLevel="0" collapsed="false">
      <c r="A21" s="11" t="s">
        <v>52</v>
      </c>
      <c r="B21" s="11" t="s">
        <v>87</v>
      </c>
      <c r="C21" s="18" t="n">
        <f aca="false">'Skill templates'!B10</f>
        <v>5</v>
      </c>
      <c r="D21" s="18" t="n">
        <f aca="false">'Skill templates'!C10</f>
        <v>5</v>
      </c>
      <c r="E21" s="18" t="n">
        <f aca="false">'Skill templates'!D10</f>
        <v>5</v>
      </c>
      <c r="F21" s="18" t="n">
        <f aca="false">'Skill templates'!E10</f>
        <v>5</v>
      </c>
      <c r="G21" s="18" t="n">
        <f aca="false">'Skill templates'!F10</f>
        <v>5</v>
      </c>
      <c r="H21" s="18" t="n">
        <f aca="false">'Skill templates'!G10</f>
        <v>5</v>
      </c>
      <c r="I21" s="18" t="n">
        <f aca="false">'Skill templates'!H10</f>
        <v>5</v>
      </c>
      <c r="J21" s="18" t="n">
        <f aca="false">'Skill templates'!I10</f>
        <v>5</v>
      </c>
      <c r="K21" s="18" t="n">
        <f aca="false">'Skill templates'!J10</f>
        <v>5</v>
      </c>
      <c r="L21" s="18" t="n">
        <f aca="false">'Skill templates'!K10</f>
        <v>5</v>
      </c>
      <c r="M21" s="18" t="n">
        <f aca="false">'Skill templates'!L10</f>
        <v>5</v>
      </c>
      <c r="N21" s="18" t="n">
        <f aca="false">'Skill templates'!M10</f>
        <v>5</v>
      </c>
    </row>
    <row r="22" customFormat="false" ht="15" hidden="false" customHeight="false" outlineLevel="0" collapsed="false">
      <c r="A22" s="11" t="s">
        <v>54</v>
      </c>
      <c r="B22" s="11" t="s">
        <v>82</v>
      </c>
      <c r="C22" s="18" t="n">
        <f aca="false">'Skill templates'!B5</f>
        <v>3</v>
      </c>
      <c r="D22" s="18" t="n">
        <f aca="false">'Skill templates'!C5</f>
        <v>3</v>
      </c>
      <c r="E22" s="18" t="n">
        <f aca="false">'Skill templates'!D5</f>
        <v>2</v>
      </c>
      <c r="F22" s="18" t="n">
        <f aca="false">'Skill templates'!E5</f>
        <v>1</v>
      </c>
      <c r="G22" s="18" t="n">
        <f aca="false">'Skill templates'!F5</f>
        <v>1</v>
      </c>
      <c r="H22" s="18" t="n">
        <f aca="false">'Skill templates'!G5</f>
        <v>1</v>
      </c>
      <c r="I22" s="18" t="n">
        <f aca="false">'Skill templates'!H5</f>
        <v>1</v>
      </c>
      <c r="J22" s="18" t="n">
        <f aca="false">'Skill templates'!I5</f>
        <v>1</v>
      </c>
      <c r="K22" s="18" t="n">
        <f aca="false">'Skill templates'!J5</f>
        <v>1</v>
      </c>
      <c r="L22" s="18" t="n">
        <f aca="false">'Skill templates'!K5</f>
        <v>1</v>
      </c>
      <c r="M22" s="18" t="n">
        <f aca="false">'Skill templates'!L5</f>
        <v>1</v>
      </c>
      <c r="N22" s="18" t="n">
        <f aca="false">'Skill templates'!M5</f>
        <v>1</v>
      </c>
    </row>
    <row r="24" customFormat="false" ht="15" hidden="false" customHeight="true" outlineLevel="0" collapsed="false">
      <c r="A24" s="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1"/>
    <col collapsed="false" customWidth="true" hidden="false" outlineLevel="0" max="14" min="3" style="1" width="10"/>
  </cols>
  <sheetData>
    <row r="1" customFormat="false" ht="15" hidden="false" customHeight="true" outlineLevel="0" collapsed="false">
      <c r="A1" s="2" t="s">
        <v>93</v>
      </c>
    </row>
    <row r="2" customFormat="false" ht="15" hidden="false" customHeight="true" outlineLevel="0" collapsed="false">
      <c r="A2" s="3" t="s">
        <v>94</v>
      </c>
    </row>
    <row r="3" customFormat="false" ht="15" hidden="false" customHeight="true" outlineLevel="0" collapsed="false">
      <c r="A3" s="4" t="s">
        <v>95</v>
      </c>
      <c r="B3" s="5" t="n">
        <v>2</v>
      </c>
      <c r="C3" s="3" t="s">
        <v>96</v>
      </c>
    </row>
    <row r="5" customFormat="false" ht="23.25" hidden="false" customHeight="true" outlineLevel="0" collapsed="false">
      <c r="A5" s="6" t="s">
        <v>4</v>
      </c>
      <c r="B5" s="6" t="s">
        <v>97</v>
      </c>
      <c r="C5" s="6" t="s">
        <v>72</v>
      </c>
      <c r="D5" s="6" t="s">
        <v>73</v>
      </c>
      <c r="E5" s="6" t="s">
        <v>49</v>
      </c>
      <c r="F5" s="6" t="s">
        <v>74</v>
      </c>
      <c r="G5" s="6" t="s">
        <v>75</v>
      </c>
      <c r="H5" s="6" t="s">
        <v>76</v>
      </c>
      <c r="I5" s="6" t="s">
        <v>77</v>
      </c>
      <c r="J5" s="6" t="s">
        <v>78</v>
      </c>
      <c r="K5" s="6" t="s">
        <v>79</v>
      </c>
      <c r="L5" s="6" t="s">
        <v>45</v>
      </c>
      <c r="M5" s="6" t="s">
        <v>80</v>
      </c>
      <c r="N5" s="6" t="s">
        <v>81</v>
      </c>
    </row>
    <row r="6" customFormat="false" ht="15" hidden="false" customHeight="true" outlineLevel="0" collapsed="false">
      <c r="A6" s="20" t="str">
        <f aca="false">Attributes!A5</f>
        <v>Human Peasant (ref)</v>
      </c>
      <c r="B6" s="18" t="str">
        <f aca="false">Attributes!P5</f>
        <v>Melee</v>
      </c>
      <c r="C6" s="13" t="n">
        <f aca="false">MAX(1,MIN(10,'Race skills'!C5+FLOOR((Attributes!E5-5)/$B$3,1)))</f>
        <v>5</v>
      </c>
      <c r="D6" s="13" t="n">
        <f aca="false">MAX(1,MIN(10,'Race skills'!D5+FLOOR((Attributes!E5-5)/$B$3,1)))</f>
        <v>5</v>
      </c>
      <c r="E6" s="13" t="n">
        <f aca="false">MAX(1,MIN(10,'Race skills'!E5+FLOOR((Attributes!K5-5)/$B$3,1)))</f>
        <v>5</v>
      </c>
      <c r="F6" s="13" t="n">
        <f aca="false">MAX(1,MIN(10,'Race skills'!F5+FLOOR((Attributes!F5-5)/$B$3,1)))</f>
        <v>5</v>
      </c>
      <c r="G6" s="13" t="n">
        <f aca="false">MAX(1,MIN(10,'Race skills'!G5+FLOOR((Attributes!F5-5)/$B$3,1)))</f>
        <v>5</v>
      </c>
      <c r="H6" s="13" t="n">
        <f aca="false">MAX(1,MIN(10,'Race skills'!H5+FLOOR((Attributes!F5-5)/$B$3,1)))</f>
        <v>5</v>
      </c>
      <c r="I6" s="13" t="n">
        <f aca="false">MAX(1,MIN(10,'Race skills'!I5+FLOOR((Attributes!J5-5)/$B$3,1)))</f>
        <v>5</v>
      </c>
      <c r="J6" s="13" t="n">
        <f aca="false">MAX(1,MIN(10,'Race skills'!J5+FLOOR((Attributes!K5-5)/$B$3,1)))</f>
        <v>5</v>
      </c>
      <c r="K6" s="13" t="n">
        <f aca="false">MAX(1,MIN(10,'Race skills'!K5+FLOOR((Attributes!J5-5)/$B$3,1)))</f>
        <v>5</v>
      </c>
      <c r="L6" s="13" t="n">
        <f aca="false">MAX(1,MIN(10,'Race skills'!L5+FLOOR((Attributes!I5-5)/$B$3,1)))</f>
        <v>5</v>
      </c>
      <c r="M6" s="13" t="n">
        <f aca="false">MAX(1,MIN(10,'Race skills'!M5+FLOOR((Attributes!I5-5)/$B$3,1)))</f>
        <v>5</v>
      </c>
      <c r="N6" s="13" t="n">
        <f aca="false">MAX(1,MIN(10,'Race skills'!N5+FLOOR((Attributes!L5-5)/$B$3,1)))</f>
        <v>5</v>
      </c>
    </row>
    <row r="7" customFormat="false" ht="15" hidden="false" customHeight="true" outlineLevel="0" collapsed="false">
      <c r="A7" s="20" t="str">
        <f aca="false">Attributes!A6</f>
        <v>Skeleton Worker</v>
      </c>
      <c r="B7" s="18" t="str">
        <f aca="false">Attributes!P6</f>
        <v>Melee</v>
      </c>
      <c r="C7" s="13" t="n">
        <f aca="false">MAX(1,MIN(10,'Race skills'!C6+FLOOR((Attributes!E6-5)/$B$3,1)))</f>
        <v>2</v>
      </c>
      <c r="D7" s="13" t="n">
        <f aca="false">MAX(1,MIN(10,'Race skills'!D6+FLOOR((Attributes!E6-5)/$B$3,1)))</f>
        <v>2</v>
      </c>
      <c r="E7" s="13" t="n">
        <f aca="false">MAX(1,MIN(10,'Race skills'!E6+FLOOR((Attributes!K6-5)/$B$3,1)))</f>
        <v>1</v>
      </c>
      <c r="F7" s="13" t="n">
        <f aca="false">MAX(1,MIN(10,'Race skills'!F6+FLOOR((Attributes!F6-5)/$B$3,1)))</f>
        <v>1</v>
      </c>
      <c r="G7" s="13" t="n">
        <f aca="false">MAX(1,MIN(10,'Race skills'!G6+FLOOR((Attributes!F6-5)/$B$3,1)))</f>
        <v>1</v>
      </c>
      <c r="H7" s="13" t="n">
        <f aca="false">MAX(1,MIN(10,'Race skills'!H6+FLOOR((Attributes!F6-5)/$B$3,1)))</f>
        <v>1</v>
      </c>
      <c r="I7" s="13" t="n">
        <f aca="false">MAX(1,MIN(10,'Race skills'!I6+FLOOR((Attributes!J6-5)/$B$3,1)))</f>
        <v>1</v>
      </c>
      <c r="J7" s="13" t="n">
        <f aca="false">MAX(1,MIN(10,'Race skills'!J6+FLOOR((Attributes!K6-5)/$B$3,1)))</f>
        <v>1</v>
      </c>
      <c r="K7" s="13" t="n">
        <f aca="false">MAX(1,MIN(10,'Race skills'!K6+FLOOR((Attributes!J6-5)/$B$3,1)))</f>
        <v>1</v>
      </c>
      <c r="L7" s="13" t="n">
        <f aca="false">MAX(1,MIN(10,'Race skills'!L6+FLOOR((Attributes!I6-5)/$B$3,1)))</f>
        <v>1</v>
      </c>
      <c r="M7" s="13" t="n">
        <f aca="false">MAX(1,MIN(10,'Race skills'!M6+FLOOR((Attributes!I6-5)/$B$3,1)))</f>
        <v>1</v>
      </c>
      <c r="N7" s="13" t="n">
        <f aca="false">MAX(1,MIN(10,'Race skills'!N6+FLOOR((Attributes!L6-5)/$B$3,1)))</f>
        <v>1</v>
      </c>
    </row>
    <row r="8" customFormat="false" ht="15" hidden="false" customHeight="true" outlineLevel="0" collapsed="false">
      <c r="A8" s="20" t="str">
        <f aca="false">Attributes!A7</f>
        <v>Orc</v>
      </c>
      <c r="B8" s="18" t="str">
        <f aca="false">Attributes!P7</f>
        <v>Melee</v>
      </c>
      <c r="C8" s="13" t="n">
        <f aca="false">MAX(1,MIN(10,'Race skills'!C7+FLOOR((Attributes!E7-5)/$B$3,1)))</f>
        <v>6</v>
      </c>
      <c r="D8" s="13" t="n">
        <f aca="false">MAX(1,MIN(10,'Race skills'!D7+FLOOR((Attributes!E7-5)/$B$3,1)))</f>
        <v>5</v>
      </c>
      <c r="E8" s="13" t="n">
        <f aca="false">MAX(1,MIN(10,'Race skills'!E7+FLOOR((Attributes!K7-5)/$B$3,1)))</f>
        <v>3</v>
      </c>
      <c r="F8" s="13" t="n">
        <f aca="false">MAX(1,MIN(10,'Race skills'!F7+FLOOR((Attributes!F7-5)/$B$3,1)))</f>
        <v>3</v>
      </c>
      <c r="G8" s="13" t="n">
        <f aca="false">MAX(1,MIN(10,'Race skills'!G7+FLOOR((Attributes!F7-5)/$B$3,1)))</f>
        <v>1</v>
      </c>
      <c r="H8" s="13" t="n">
        <f aca="false">MAX(1,MIN(10,'Race skills'!H7+FLOOR((Attributes!F7-5)/$B$3,1)))</f>
        <v>2</v>
      </c>
      <c r="I8" s="13" t="n">
        <f aca="false">MAX(1,MIN(10,'Race skills'!I7+FLOOR((Attributes!J7-5)/$B$3,1)))</f>
        <v>2</v>
      </c>
      <c r="J8" s="13" t="n">
        <f aca="false">MAX(1,MIN(10,'Race skills'!J7+FLOOR((Attributes!K7-5)/$B$3,1)))</f>
        <v>3</v>
      </c>
      <c r="K8" s="13" t="n">
        <f aca="false">MAX(1,MIN(10,'Race skills'!K7+FLOOR((Attributes!J7-5)/$B$3,1)))</f>
        <v>2</v>
      </c>
      <c r="L8" s="13" t="n">
        <f aca="false">MAX(1,MIN(10,'Race skills'!L7+FLOOR((Attributes!I7-5)/$B$3,1)))</f>
        <v>1</v>
      </c>
      <c r="M8" s="13" t="n">
        <f aca="false">MAX(1,MIN(10,'Race skills'!M7+FLOOR((Attributes!I7-5)/$B$3,1)))</f>
        <v>1</v>
      </c>
      <c r="N8" s="13" t="n">
        <f aca="false">MAX(1,MIN(10,'Race skills'!N7+FLOOR((Attributes!L7-5)/$B$3,1)))</f>
        <v>5</v>
      </c>
    </row>
    <row r="9" customFormat="false" ht="15" hidden="false" customHeight="true" outlineLevel="0" collapsed="false">
      <c r="A9" s="20" t="str">
        <f aca="false">Attributes!A8</f>
        <v>Hobgoblin</v>
      </c>
      <c r="B9" s="18" t="str">
        <f aca="false">Attributes!P8</f>
        <v>Melee</v>
      </c>
      <c r="C9" s="13" t="n">
        <f aca="false">MAX(1,MIN(10,'Race skills'!C8+FLOOR((Attributes!E8-5)/$B$3,1)))</f>
        <v>5</v>
      </c>
      <c r="D9" s="13" t="n">
        <f aca="false">MAX(1,MIN(10,'Race skills'!D8+FLOOR((Attributes!E8-5)/$B$3,1)))</f>
        <v>4</v>
      </c>
      <c r="E9" s="13" t="n">
        <f aca="false">MAX(1,MIN(10,'Race skills'!E8+FLOOR((Attributes!K8-5)/$B$3,1)))</f>
        <v>3</v>
      </c>
      <c r="F9" s="13" t="n">
        <f aca="false">MAX(1,MIN(10,'Race skills'!F8+FLOOR((Attributes!F8-5)/$B$3,1)))</f>
        <v>4</v>
      </c>
      <c r="G9" s="13" t="n">
        <f aca="false">MAX(1,MIN(10,'Race skills'!G8+FLOOR((Attributes!F8-5)/$B$3,1)))</f>
        <v>2</v>
      </c>
      <c r="H9" s="13" t="n">
        <f aca="false">MAX(1,MIN(10,'Race skills'!H8+FLOOR((Attributes!F8-5)/$B$3,1)))</f>
        <v>4</v>
      </c>
      <c r="I9" s="13" t="n">
        <f aca="false">MAX(1,MIN(10,'Race skills'!I8+FLOOR((Attributes!J8-5)/$B$3,1)))</f>
        <v>3</v>
      </c>
      <c r="J9" s="13" t="n">
        <f aca="false">MAX(1,MIN(10,'Race skills'!J8+FLOOR((Attributes!K8-5)/$B$3,1)))</f>
        <v>4</v>
      </c>
      <c r="K9" s="13" t="n">
        <f aca="false">MAX(1,MIN(10,'Race skills'!K8+FLOOR((Attributes!J8-5)/$B$3,1)))</f>
        <v>3</v>
      </c>
      <c r="L9" s="13" t="n">
        <f aca="false">MAX(1,MIN(10,'Race skills'!L8+FLOOR((Attributes!I8-5)/$B$3,1)))</f>
        <v>2</v>
      </c>
      <c r="M9" s="13" t="n">
        <f aca="false">MAX(1,MIN(10,'Race skills'!M8+FLOOR((Attributes!I8-5)/$B$3,1)))</f>
        <v>2</v>
      </c>
      <c r="N9" s="13" t="n">
        <f aca="false">MAX(1,MIN(10,'Race skills'!N8+FLOOR((Attributes!L8-5)/$B$3,1)))</f>
        <v>8</v>
      </c>
    </row>
    <row r="10" customFormat="false" ht="15" hidden="false" customHeight="true" outlineLevel="0" collapsed="false">
      <c r="A10" s="20" t="str">
        <f aca="false">Attributes!A9</f>
        <v>Ogre</v>
      </c>
      <c r="B10" s="18" t="str">
        <f aca="false">Attributes!P9</f>
        <v>Melee</v>
      </c>
      <c r="C10" s="13" t="n">
        <f aca="false">MAX(1,MIN(10,'Race skills'!C9+FLOOR((Attributes!E9-5)/$B$3,1)))</f>
        <v>8</v>
      </c>
      <c r="D10" s="13" t="n">
        <f aca="false">MAX(1,MIN(10,'Race skills'!D9+FLOOR((Attributes!E9-5)/$B$3,1)))</f>
        <v>8</v>
      </c>
      <c r="E10" s="13" t="n">
        <f aca="false">MAX(1,MIN(10,'Race skills'!E9+FLOOR((Attributes!K9-5)/$B$3,1)))</f>
        <v>1</v>
      </c>
      <c r="F10" s="13" t="n">
        <f aca="false">MAX(1,MIN(10,'Race skills'!F9+FLOOR((Attributes!F9-5)/$B$3,1)))</f>
        <v>2</v>
      </c>
      <c r="G10" s="13" t="n">
        <f aca="false">MAX(1,MIN(10,'Race skills'!G9+FLOOR((Attributes!F9-5)/$B$3,1)))</f>
        <v>1</v>
      </c>
      <c r="H10" s="13" t="n">
        <f aca="false">MAX(1,MIN(10,'Race skills'!H9+FLOOR((Attributes!F9-5)/$B$3,1)))</f>
        <v>1</v>
      </c>
      <c r="I10" s="13" t="n">
        <f aca="false">MAX(1,MIN(10,'Race skills'!I9+FLOOR((Attributes!J9-5)/$B$3,1)))</f>
        <v>1</v>
      </c>
      <c r="J10" s="13" t="n">
        <f aca="false">MAX(1,MIN(10,'Race skills'!J9+FLOOR((Attributes!K9-5)/$B$3,1)))</f>
        <v>2</v>
      </c>
      <c r="K10" s="13" t="n">
        <f aca="false">MAX(1,MIN(10,'Race skills'!K9+FLOOR((Attributes!J9-5)/$B$3,1)))</f>
        <v>1</v>
      </c>
      <c r="L10" s="13" t="n">
        <f aca="false">MAX(1,MIN(10,'Race skills'!L9+FLOOR((Attributes!I9-5)/$B$3,1)))</f>
        <v>1</v>
      </c>
      <c r="M10" s="13" t="n">
        <f aca="false">MAX(1,MIN(10,'Race skills'!M9+FLOOR((Attributes!I9-5)/$B$3,1)))</f>
        <v>1</v>
      </c>
      <c r="N10" s="13" t="n">
        <f aca="false">MAX(1,MIN(10,'Race skills'!N9+FLOOR((Attributes!L9-5)/$B$3,1)))</f>
        <v>1</v>
      </c>
    </row>
    <row r="11" customFormat="false" ht="15" hidden="false" customHeight="true" outlineLevel="0" collapsed="false">
      <c r="A11" s="20" t="str">
        <f aca="false">Attributes!A10</f>
        <v>Troll</v>
      </c>
      <c r="B11" s="18" t="str">
        <f aca="false">Attributes!P10</f>
        <v>Melee</v>
      </c>
      <c r="C11" s="13" t="n">
        <f aca="false">MAX(1,MIN(10,'Race skills'!C10+FLOOR((Attributes!E10-5)/$B$3,1)))</f>
        <v>7</v>
      </c>
      <c r="D11" s="13" t="n">
        <f aca="false">MAX(1,MIN(10,'Race skills'!D10+FLOOR((Attributes!E10-5)/$B$3,1)))</f>
        <v>6</v>
      </c>
      <c r="E11" s="13" t="n">
        <f aca="false">MAX(1,MIN(10,'Race skills'!E10+FLOOR((Attributes!K10-5)/$B$3,1)))</f>
        <v>4</v>
      </c>
      <c r="F11" s="13" t="n">
        <f aca="false">MAX(1,MIN(10,'Race skills'!F10+FLOOR((Attributes!F10-5)/$B$3,1)))</f>
        <v>3</v>
      </c>
      <c r="G11" s="13" t="n">
        <f aca="false">MAX(1,MIN(10,'Race skills'!G10+FLOOR((Attributes!F10-5)/$B$3,1)))</f>
        <v>1</v>
      </c>
      <c r="H11" s="13" t="n">
        <f aca="false">MAX(1,MIN(10,'Race skills'!H10+FLOOR((Attributes!F10-5)/$B$3,1)))</f>
        <v>2</v>
      </c>
      <c r="I11" s="13" t="n">
        <f aca="false">MAX(1,MIN(10,'Race skills'!I10+FLOOR((Attributes!J10-5)/$B$3,1)))</f>
        <v>1</v>
      </c>
      <c r="J11" s="13" t="n">
        <f aca="false">MAX(1,MIN(10,'Race skills'!J10+FLOOR((Attributes!K10-5)/$B$3,1)))</f>
        <v>3</v>
      </c>
      <c r="K11" s="13" t="n">
        <f aca="false">MAX(1,MIN(10,'Race skills'!K10+FLOOR((Attributes!J10-5)/$B$3,1)))</f>
        <v>1</v>
      </c>
      <c r="L11" s="13" t="n">
        <f aca="false">MAX(1,MIN(10,'Race skills'!L10+FLOOR((Attributes!I10-5)/$B$3,1)))</f>
        <v>1</v>
      </c>
      <c r="M11" s="13" t="n">
        <f aca="false">MAX(1,MIN(10,'Race skills'!M10+FLOOR((Attributes!I10-5)/$B$3,1)))</f>
        <v>1</v>
      </c>
      <c r="N11" s="13" t="n">
        <f aca="false">MAX(1,MIN(10,'Race skills'!N10+FLOOR((Attributes!L10-5)/$B$3,1)))</f>
        <v>1</v>
      </c>
    </row>
    <row r="12" customFormat="false" ht="15" hidden="false" customHeight="true" outlineLevel="0" collapsed="false">
      <c r="A12" s="20" t="str">
        <f aca="false">Attributes!A11</f>
        <v>Gray Dwarf</v>
      </c>
      <c r="B12" s="18" t="str">
        <f aca="false">Attributes!P11</f>
        <v>Melee</v>
      </c>
      <c r="C12" s="13" t="n">
        <f aca="false">MAX(1,MIN(10,'Race skills'!C11+FLOOR((Attributes!E11-5)/$B$3,1)))</f>
        <v>4</v>
      </c>
      <c r="D12" s="13" t="n">
        <f aca="false">MAX(1,MIN(10,'Race skills'!D11+FLOOR((Attributes!E11-5)/$B$3,1)))</f>
        <v>9</v>
      </c>
      <c r="E12" s="13" t="n">
        <f aca="false">MAX(1,MIN(10,'Race skills'!E11+FLOOR((Attributes!K11-5)/$B$3,1)))</f>
        <v>1</v>
      </c>
      <c r="F12" s="13" t="n">
        <f aca="false">MAX(1,MIN(10,'Race skills'!F11+FLOOR((Attributes!F11-5)/$B$3,1)))</f>
        <v>2</v>
      </c>
      <c r="G12" s="13" t="n">
        <f aca="false">MAX(1,MIN(10,'Race skills'!G11+FLOOR((Attributes!F11-5)/$B$3,1)))</f>
        <v>2</v>
      </c>
      <c r="H12" s="13" t="n">
        <f aca="false">MAX(1,MIN(10,'Race skills'!H11+FLOOR((Attributes!F11-5)/$B$3,1)))</f>
        <v>7</v>
      </c>
      <c r="I12" s="13" t="n">
        <f aca="false">MAX(1,MIN(10,'Race skills'!I11+FLOOR((Attributes!J11-5)/$B$3,1)))</f>
        <v>2</v>
      </c>
      <c r="J12" s="13" t="n">
        <f aca="false">MAX(1,MIN(10,'Race skills'!J11+FLOOR((Attributes!K11-5)/$B$3,1)))</f>
        <v>2</v>
      </c>
      <c r="K12" s="13" t="n">
        <f aca="false">MAX(1,MIN(10,'Race skills'!K11+FLOOR((Attributes!J11-5)/$B$3,1)))</f>
        <v>4</v>
      </c>
      <c r="L12" s="13" t="n">
        <f aca="false">MAX(1,MIN(10,'Race skills'!L11+FLOOR((Attributes!I11-5)/$B$3,1)))</f>
        <v>3</v>
      </c>
      <c r="M12" s="13" t="n">
        <f aca="false">MAX(1,MIN(10,'Race skills'!M11+FLOOR((Attributes!I11-5)/$B$3,1)))</f>
        <v>2</v>
      </c>
      <c r="N12" s="13" t="n">
        <f aca="false">MAX(1,MIN(10,'Race skills'!N11+FLOOR((Attributes!L11-5)/$B$3,1)))</f>
        <v>4</v>
      </c>
    </row>
    <row r="13" customFormat="false" ht="15" hidden="false" customHeight="true" outlineLevel="0" collapsed="false">
      <c r="A13" s="20" t="str">
        <f aca="false">Attributes!A12</f>
        <v>Kobold</v>
      </c>
      <c r="B13" s="18" t="str">
        <f aca="false">Attributes!P12</f>
        <v>Ranged</v>
      </c>
      <c r="C13" s="13" t="n">
        <f aca="false">MAX(1,MIN(10,'Race skills'!C12+FLOOR((Attributes!E12-5)/$B$3,1)))</f>
        <v>2</v>
      </c>
      <c r="D13" s="13" t="n">
        <f aca="false">MAX(1,MIN(10,'Race skills'!D12+FLOOR((Attributes!E12-5)/$B$3,1)))</f>
        <v>4</v>
      </c>
      <c r="E13" s="13" t="n">
        <f aca="false">MAX(1,MIN(10,'Race skills'!E12+FLOOR((Attributes!K12-5)/$B$3,1)))</f>
        <v>2</v>
      </c>
      <c r="F13" s="13" t="n">
        <f aca="false">MAX(1,MIN(10,'Race skills'!F12+FLOOR((Attributes!F12-5)/$B$3,1)))</f>
        <v>2</v>
      </c>
      <c r="G13" s="13" t="n">
        <f aca="false">MAX(1,MIN(10,'Race skills'!G12+FLOOR((Attributes!F12-5)/$B$3,1)))</f>
        <v>2</v>
      </c>
      <c r="H13" s="13" t="n">
        <f aca="false">MAX(1,MIN(10,'Race skills'!H12+FLOOR((Attributes!F12-5)/$B$3,1)))</f>
        <v>4</v>
      </c>
      <c r="I13" s="13" t="n">
        <f aca="false">MAX(1,MIN(10,'Race skills'!I12+FLOOR((Attributes!J12-5)/$B$3,1)))</f>
        <v>7</v>
      </c>
      <c r="J13" s="13" t="n">
        <f aca="false">MAX(1,MIN(10,'Race skills'!J12+FLOOR((Attributes!K12-5)/$B$3,1)))</f>
        <v>3</v>
      </c>
      <c r="K13" s="13" t="n">
        <f aca="false">MAX(1,MIN(10,'Race skills'!K12+FLOOR((Attributes!J12-5)/$B$3,1)))</f>
        <v>3</v>
      </c>
      <c r="L13" s="13" t="n">
        <f aca="false">MAX(1,MIN(10,'Race skills'!L12+FLOOR((Attributes!I12-5)/$B$3,1)))</f>
        <v>2</v>
      </c>
      <c r="M13" s="13" t="n">
        <f aca="false">MAX(1,MIN(10,'Race skills'!M12+FLOOR((Attributes!I12-5)/$B$3,1)))</f>
        <v>1</v>
      </c>
      <c r="N13" s="13" t="n">
        <f aca="false">MAX(1,MIN(10,'Race skills'!N12+FLOOR((Attributes!L12-5)/$B$3,1)))</f>
        <v>3</v>
      </c>
    </row>
    <row r="14" customFormat="false" ht="15" hidden="false" customHeight="true" outlineLevel="0" collapsed="false">
      <c r="A14" s="20" t="str">
        <f aca="false">Attributes!A13</f>
        <v>Minotaur</v>
      </c>
      <c r="B14" s="18" t="str">
        <f aca="false">Attributes!P13</f>
        <v>Melee</v>
      </c>
      <c r="C14" s="13" t="n">
        <f aca="false">MAX(1,MIN(10,'Race skills'!C13+FLOOR((Attributes!E13-5)/$B$3,1)))</f>
        <v>8</v>
      </c>
      <c r="D14" s="13" t="n">
        <f aca="false">MAX(1,MIN(10,'Race skills'!D13+FLOOR((Attributes!E13-5)/$B$3,1)))</f>
        <v>8</v>
      </c>
      <c r="E14" s="13" t="n">
        <f aca="false">MAX(1,MIN(10,'Race skills'!E13+FLOOR((Attributes!K13-5)/$B$3,1)))</f>
        <v>1</v>
      </c>
      <c r="F14" s="13" t="n">
        <f aca="false">MAX(1,MIN(10,'Race skills'!F13+FLOOR((Attributes!F13-5)/$B$3,1)))</f>
        <v>1</v>
      </c>
      <c r="G14" s="13" t="n">
        <f aca="false">MAX(1,MIN(10,'Race skills'!G13+FLOOR((Attributes!F13-5)/$B$3,1)))</f>
        <v>1</v>
      </c>
      <c r="H14" s="13" t="n">
        <f aca="false">MAX(1,MIN(10,'Race skills'!H13+FLOOR((Attributes!F13-5)/$B$3,1)))</f>
        <v>4</v>
      </c>
      <c r="I14" s="13" t="n">
        <f aca="false">MAX(1,MIN(10,'Race skills'!I13+FLOOR((Attributes!J13-5)/$B$3,1)))</f>
        <v>2</v>
      </c>
      <c r="J14" s="13" t="n">
        <f aca="false">MAX(1,MIN(10,'Race skills'!J13+FLOOR((Attributes!K13-5)/$B$3,1)))</f>
        <v>2</v>
      </c>
      <c r="K14" s="13" t="n">
        <f aca="false">MAX(1,MIN(10,'Race skills'!K13+FLOOR((Attributes!J13-5)/$B$3,1)))</f>
        <v>5</v>
      </c>
      <c r="L14" s="13" t="n">
        <f aca="false">MAX(1,MIN(10,'Race skills'!L13+FLOOR((Attributes!I13-5)/$B$3,1)))</f>
        <v>2</v>
      </c>
      <c r="M14" s="13" t="n">
        <f aca="false">MAX(1,MIN(10,'Race skills'!M13+FLOOR((Attributes!I13-5)/$B$3,1)))</f>
        <v>1</v>
      </c>
      <c r="N14" s="13" t="n">
        <f aca="false">MAX(1,MIN(10,'Race skills'!N13+FLOOR((Attributes!L13-5)/$B$3,1)))</f>
        <v>4</v>
      </c>
    </row>
    <row r="15" customFormat="false" ht="15" hidden="false" customHeight="true" outlineLevel="0" collapsed="false">
      <c r="A15" s="20" t="str">
        <f aca="false">Attributes!A14</f>
        <v>Mountain Dwarf</v>
      </c>
      <c r="B15" s="18" t="str">
        <f aca="false">Attributes!P14</f>
        <v>Melee</v>
      </c>
      <c r="C15" s="13" t="n">
        <f aca="false">MAX(1,MIN(10,'Race skills'!C14+FLOOR((Attributes!E14-5)/$B$3,1)))</f>
        <v>4</v>
      </c>
      <c r="D15" s="13" t="n">
        <f aca="false">MAX(1,MIN(10,'Race skills'!D14+FLOOR((Attributes!E14-5)/$B$3,1)))</f>
        <v>8</v>
      </c>
      <c r="E15" s="13" t="n">
        <f aca="false">MAX(1,MIN(10,'Race skills'!E14+FLOOR((Attributes!K14-5)/$B$3,1)))</f>
        <v>1</v>
      </c>
      <c r="F15" s="13" t="n">
        <f aca="false">MAX(1,MIN(10,'Race skills'!F14+FLOOR((Attributes!F14-5)/$B$3,1)))</f>
        <v>2</v>
      </c>
      <c r="G15" s="13" t="n">
        <f aca="false">MAX(1,MIN(10,'Race skills'!G14+FLOOR((Attributes!F14-5)/$B$3,1)))</f>
        <v>2</v>
      </c>
      <c r="H15" s="13" t="n">
        <f aca="false">MAX(1,MIN(10,'Race skills'!H14+FLOOR((Attributes!F14-5)/$B$3,1)))</f>
        <v>7</v>
      </c>
      <c r="I15" s="13" t="n">
        <f aca="false">MAX(1,MIN(10,'Race skills'!I14+FLOOR((Attributes!J14-5)/$B$3,1)))</f>
        <v>2</v>
      </c>
      <c r="J15" s="13" t="n">
        <f aca="false">MAX(1,MIN(10,'Race skills'!J14+FLOOR((Attributes!K14-5)/$B$3,1)))</f>
        <v>2</v>
      </c>
      <c r="K15" s="13" t="n">
        <f aca="false">MAX(1,MIN(10,'Race skills'!K14+FLOOR((Attributes!J14-5)/$B$3,1)))</f>
        <v>4</v>
      </c>
      <c r="L15" s="13" t="n">
        <f aca="false">MAX(1,MIN(10,'Race skills'!L14+FLOOR((Attributes!I14-5)/$B$3,1)))</f>
        <v>3</v>
      </c>
      <c r="M15" s="13" t="n">
        <f aca="false">MAX(1,MIN(10,'Race skills'!M14+FLOOR((Attributes!I14-5)/$B$3,1)))</f>
        <v>2</v>
      </c>
      <c r="N15" s="13" t="n">
        <f aca="false">MAX(1,MIN(10,'Race skills'!N14+FLOOR((Attributes!L14-5)/$B$3,1)))</f>
        <v>5</v>
      </c>
    </row>
    <row r="16" customFormat="false" ht="15" hidden="false" customHeight="true" outlineLevel="0" collapsed="false">
      <c r="A16" s="20" t="str">
        <f aca="false">Attributes!A15</f>
        <v>Gnome</v>
      </c>
      <c r="B16" s="18" t="str">
        <f aca="false">Attributes!P15</f>
        <v>Arcane</v>
      </c>
      <c r="C16" s="13" t="n">
        <f aca="false">MAX(1,MIN(10,'Race skills'!C15+FLOOR((Attributes!E15-5)/$B$3,1)))</f>
        <v>1</v>
      </c>
      <c r="D16" s="13" t="n">
        <f aca="false">MAX(1,MIN(10,'Race skills'!D15+FLOOR((Attributes!E15-5)/$B$3,1)))</f>
        <v>1</v>
      </c>
      <c r="E16" s="13" t="n">
        <f aca="false">MAX(1,MIN(10,'Race skills'!E15+FLOOR((Attributes!K15-5)/$B$3,1)))</f>
        <v>4</v>
      </c>
      <c r="F16" s="13" t="n">
        <f aca="false">MAX(1,MIN(10,'Race skills'!F15+FLOOR((Attributes!F15-5)/$B$3,1)))</f>
        <v>3</v>
      </c>
      <c r="G16" s="13" t="n">
        <f aca="false">MAX(1,MIN(10,'Race skills'!G15+FLOOR((Attributes!F15-5)/$B$3,1)))</f>
        <v>3</v>
      </c>
      <c r="H16" s="13" t="n">
        <f aca="false">MAX(1,MIN(10,'Race skills'!H15+FLOOR((Attributes!F15-5)/$B$3,1)))</f>
        <v>6</v>
      </c>
      <c r="I16" s="13" t="n">
        <f aca="false">MAX(1,MIN(10,'Race skills'!I15+FLOOR((Attributes!J15-5)/$B$3,1)))</f>
        <v>5</v>
      </c>
      <c r="J16" s="13" t="n">
        <f aca="false">MAX(1,MIN(10,'Race skills'!J15+FLOOR((Attributes!K15-5)/$B$3,1)))</f>
        <v>5</v>
      </c>
      <c r="K16" s="13" t="n">
        <f aca="false">MAX(1,MIN(10,'Race skills'!K15+FLOOR((Attributes!J15-5)/$B$3,1)))</f>
        <v>5</v>
      </c>
      <c r="L16" s="13" t="n">
        <f aca="false">MAX(1,MIN(10,'Race skills'!L15+FLOOR((Attributes!I15-5)/$B$3,1)))</f>
        <v>9</v>
      </c>
      <c r="M16" s="13" t="n">
        <f aca="false">MAX(1,MIN(10,'Race skills'!M15+FLOOR((Attributes!I15-5)/$B$3,1)))</f>
        <v>7</v>
      </c>
      <c r="N16" s="13" t="n">
        <f aca="false">MAX(1,MIN(10,'Race skills'!N15+FLOOR((Attributes!L15-5)/$B$3,1)))</f>
        <v>2</v>
      </c>
    </row>
    <row r="17" customFormat="false" ht="15" hidden="false" customHeight="true" outlineLevel="0" collapsed="false">
      <c r="A17" s="20" t="str">
        <f aca="false">Attributes!A16</f>
        <v>Dark Elf</v>
      </c>
      <c r="B17" s="18" t="str">
        <f aca="false">Attributes!P16</f>
        <v>Ranged</v>
      </c>
      <c r="C17" s="13" t="n">
        <f aca="false">MAX(1,MIN(10,'Race skills'!C16+FLOOR((Attributes!E16-5)/$B$3,1)))</f>
        <v>1</v>
      </c>
      <c r="D17" s="13" t="n">
        <f aca="false">MAX(1,MIN(10,'Race skills'!D16+FLOOR((Attributes!E16-5)/$B$3,1)))</f>
        <v>2</v>
      </c>
      <c r="E17" s="13" t="n">
        <f aca="false">MAX(1,MIN(10,'Race skills'!E16+FLOOR((Attributes!K16-5)/$B$3,1)))</f>
        <v>5</v>
      </c>
      <c r="F17" s="13" t="n">
        <f aca="false">MAX(1,MIN(10,'Race skills'!F16+FLOOR((Attributes!F16-5)/$B$3,1)))</f>
        <v>4</v>
      </c>
      <c r="G17" s="13" t="n">
        <f aca="false">MAX(1,MIN(10,'Race skills'!G16+FLOOR((Attributes!F16-5)/$B$3,1)))</f>
        <v>4</v>
      </c>
      <c r="H17" s="13" t="n">
        <f aca="false">MAX(1,MIN(10,'Race skills'!H16+FLOOR((Attributes!F16-5)/$B$3,1)))</f>
        <v>6</v>
      </c>
      <c r="I17" s="13" t="n">
        <f aca="false">MAX(1,MIN(10,'Race skills'!I16+FLOOR((Attributes!J16-5)/$B$3,1)))</f>
        <v>7</v>
      </c>
      <c r="J17" s="13" t="n">
        <f aca="false">MAX(1,MIN(10,'Race skills'!J16+FLOOR((Attributes!K16-5)/$B$3,1)))</f>
        <v>8</v>
      </c>
      <c r="K17" s="13" t="n">
        <f aca="false">MAX(1,MIN(10,'Race skills'!K16+FLOOR((Attributes!J16-5)/$B$3,1)))</f>
        <v>6</v>
      </c>
      <c r="L17" s="13" t="n">
        <f aca="false">MAX(1,MIN(10,'Race skills'!L16+FLOOR((Attributes!I16-5)/$B$3,1)))</f>
        <v>8</v>
      </c>
      <c r="M17" s="13" t="n">
        <f aca="false">MAX(1,MIN(10,'Race skills'!M16+FLOOR((Attributes!I16-5)/$B$3,1)))</f>
        <v>7</v>
      </c>
      <c r="N17" s="13" t="n">
        <f aca="false">MAX(1,MIN(10,'Race skills'!N16+FLOOR((Attributes!L16-5)/$B$3,1)))</f>
        <v>4</v>
      </c>
    </row>
    <row r="18" customFormat="false" ht="15" hidden="false" customHeight="true" outlineLevel="0" collapsed="false">
      <c r="A18" s="20" t="str">
        <f aca="false">Attributes!A17</f>
        <v>High Elf</v>
      </c>
      <c r="B18" s="18" t="str">
        <f aca="false">Attributes!P17</f>
        <v>Arcane</v>
      </c>
      <c r="C18" s="13" t="n">
        <f aca="false">MAX(1,MIN(10,'Race skills'!C17+FLOOR((Attributes!E17-5)/$B$3,1)))</f>
        <v>1</v>
      </c>
      <c r="D18" s="13" t="n">
        <f aca="false">MAX(1,MIN(10,'Race skills'!D17+FLOOR((Attributes!E17-5)/$B$3,1)))</f>
        <v>2</v>
      </c>
      <c r="E18" s="13" t="n">
        <f aca="false">MAX(1,MIN(10,'Race skills'!E17+FLOOR((Attributes!K17-5)/$B$3,1)))</f>
        <v>7</v>
      </c>
      <c r="F18" s="13" t="n">
        <f aca="false">MAX(1,MIN(10,'Race skills'!F17+FLOOR((Attributes!F17-5)/$B$3,1)))</f>
        <v>3</v>
      </c>
      <c r="G18" s="13" t="n">
        <f aca="false">MAX(1,MIN(10,'Race skills'!G17+FLOOR((Attributes!F17-5)/$B$3,1)))</f>
        <v>3</v>
      </c>
      <c r="H18" s="13" t="n">
        <f aca="false">MAX(1,MIN(10,'Race skills'!H17+FLOOR((Attributes!F17-5)/$B$3,1)))</f>
        <v>5</v>
      </c>
      <c r="I18" s="13" t="n">
        <f aca="false">MAX(1,MIN(10,'Race skills'!I17+FLOOR((Attributes!J17-5)/$B$3,1)))</f>
        <v>3</v>
      </c>
      <c r="J18" s="13" t="n">
        <f aca="false">MAX(1,MIN(10,'Race skills'!J17+FLOOR((Attributes!K17-5)/$B$3,1)))</f>
        <v>6</v>
      </c>
      <c r="K18" s="13" t="n">
        <f aca="false">MAX(1,MIN(10,'Race skills'!K17+FLOOR((Attributes!J17-5)/$B$3,1)))</f>
        <v>4</v>
      </c>
      <c r="L18" s="13" t="n">
        <f aca="false">MAX(1,MIN(10,'Race skills'!L17+FLOOR((Attributes!I17-5)/$B$3,1)))</f>
        <v>9</v>
      </c>
      <c r="M18" s="13" t="n">
        <f aca="false">MAX(1,MIN(10,'Race skills'!M17+FLOOR((Attributes!I17-5)/$B$3,1)))</f>
        <v>8</v>
      </c>
      <c r="N18" s="13" t="n">
        <f aca="false">MAX(1,MIN(10,'Race skills'!N17+FLOOR((Attributes!L17-5)/$B$3,1)))</f>
        <v>4</v>
      </c>
    </row>
    <row r="19" customFormat="false" ht="15" hidden="false" customHeight="true" outlineLevel="0" collapsed="false">
      <c r="A19" s="20" t="str">
        <f aca="false">Attributes!A18</f>
        <v>Goblin</v>
      </c>
      <c r="B19" s="18" t="str">
        <f aca="false">Attributes!P18</f>
        <v>Ranged</v>
      </c>
      <c r="C19" s="13" t="n">
        <f aca="false">MAX(1,MIN(10,'Race skills'!C18+FLOOR((Attributes!E18-5)/$B$3,1)))</f>
        <v>2</v>
      </c>
      <c r="D19" s="13" t="n">
        <f aca="false">MAX(1,MIN(10,'Race skills'!D18+FLOOR((Attributes!E18-5)/$B$3,1)))</f>
        <v>1</v>
      </c>
      <c r="E19" s="13" t="n">
        <f aca="false">MAX(1,MIN(10,'Race skills'!E18+FLOOR((Attributes!K18-5)/$B$3,1)))</f>
        <v>8</v>
      </c>
      <c r="F19" s="13" t="n">
        <f aca="false">MAX(1,MIN(10,'Race skills'!F18+FLOOR((Attributes!F18-5)/$B$3,1)))</f>
        <v>7</v>
      </c>
      <c r="G19" s="13" t="n">
        <f aca="false">MAX(1,MIN(10,'Race skills'!G18+FLOOR((Attributes!F18-5)/$B$3,1)))</f>
        <v>6</v>
      </c>
      <c r="H19" s="13" t="n">
        <f aca="false">MAX(1,MIN(10,'Race skills'!H18+FLOOR((Attributes!F18-5)/$B$3,1)))</f>
        <v>3</v>
      </c>
      <c r="I19" s="13" t="n">
        <f aca="false">MAX(1,MIN(10,'Race skills'!I18+FLOOR((Attributes!J18-5)/$B$3,1)))</f>
        <v>6</v>
      </c>
      <c r="J19" s="13" t="n">
        <f aca="false">MAX(1,MIN(10,'Race skills'!J18+FLOOR((Attributes!K18-5)/$B$3,1)))</f>
        <v>6</v>
      </c>
      <c r="K19" s="13" t="n">
        <f aca="false">MAX(1,MIN(10,'Race skills'!K18+FLOOR((Attributes!J18-5)/$B$3,1)))</f>
        <v>4</v>
      </c>
      <c r="L19" s="13" t="n">
        <f aca="false">MAX(1,MIN(10,'Race skills'!L18+FLOOR((Attributes!I18-5)/$B$3,1)))</f>
        <v>1</v>
      </c>
      <c r="M19" s="13" t="n">
        <f aca="false">MAX(1,MIN(10,'Race skills'!M18+FLOOR((Attributes!I18-5)/$B$3,1)))</f>
        <v>2</v>
      </c>
      <c r="N19" s="13" t="n">
        <f aca="false">MAX(1,MIN(10,'Race skills'!N18+FLOOR((Attributes!L18-5)/$B$3,1)))</f>
        <v>3</v>
      </c>
    </row>
    <row r="20" customFormat="false" ht="15" hidden="false" customHeight="true" outlineLevel="0" collapsed="false">
      <c r="A20" s="20" t="str">
        <f aca="false">Attributes!A19</f>
        <v>Gnoll</v>
      </c>
      <c r="B20" s="18" t="str">
        <f aca="false">Attributes!P19</f>
        <v>Ranged</v>
      </c>
      <c r="C20" s="13" t="n">
        <f aca="false">MAX(1,MIN(10,'Race skills'!C19+FLOOR((Attributes!E19-5)/$B$3,1)))</f>
        <v>3</v>
      </c>
      <c r="D20" s="13" t="n">
        <f aca="false">MAX(1,MIN(10,'Race skills'!D19+FLOOR((Attributes!E19-5)/$B$3,1)))</f>
        <v>2</v>
      </c>
      <c r="E20" s="13" t="n">
        <f aca="false">MAX(1,MIN(10,'Race skills'!E19+FLOOR((Attributes!K19-5)/$B$3,1)))</f>
        <v>10</v>
      </c>
      <c r="F20" s="13" t="n">
        <f aca="false">MAX(1,MIN(10,'Race skills'!F19+FLOOR((Attributes!F19-5)/$B$3,1)))</f>
        <v>8</v>
      </c>
      <c r="G20" s="13" t="n">
        <f aca="false">MAX(1,MIN(10,'Race skills'!G19+FLOOR((Attributes!F19-5)/$B$3,1)))</f>
        <v>6</v>
      </c>
      <c r="H20" s="13" t="n">
        <f aca="false">MAX(1,MIN(10,'Race skills'!H19+FLOOR((Attributes!F19-5)/$B$3,1)))</f>
        <v>3</v>
      </c>
      <c r="I20" s="13" t="n">
        <f aca="false">MAX(1,MIN(10,'Race skills'!I19+FLOOR((Attributes!J19-5)/$B$3,1)))</f>
        <v>5</v>
      </c>
      <c r="J20" s="13" t="n">
        <f aca="false">MAX(1,MIN(10,'Race skills'!J19+FLOOR((Attributes!K19-5)/$B$3,1)))</f>
        <v>7</v>
      </c>
      <c r="K20" s="13" t="n">
        <f aca="false">MAX(1,MIN(10,'Race skills'!K19+FLOOR((Attributes!J19-5)/$B$3,1)))</f>
        <v>2</v>
      </c>
      <c r="L20" s="13" t="n">
        <f aca="false">MAX(1,MIN(10,'Race skills'!L19+FLOOR((Attributes!I19-5)/$B$3,1)))</f>
        <v>1</v>
      </c>
      <c r="M20" s="13" t="n">
        <f aca="false">MAX(1,MIN(10,'Race skills'!M19+FLOOR((Attributes!I19-5)/$B$3,1)))</f>
        <v>2</v>
      </c>
      <c r="N20" s="13" t="n">
        <f aca="false">MAX(1,MIN(10,'Race skills'!N19+FLOOR((Attributes!L19-5)/$B$3,1)))</f>
        <v>1</v>
      </c>
    </row>
    <row r="21" customFormat="false" ht="15" hidden="false" customHeight="true" outlineLevel="0" collapsed="false">
      <c r="A21" s="20" t="str">
        <f aca="false">Attributes!A20</f>
        <v>Halfling</v>
      </c>
      <c r="B21" s="18" t="str">
        <f aca="false">Attributes!P20</f>
        <v>Ranged</v>
      </c>
      <c r="C21" s="13" t="n">
        <f aca="false">MAX(1,MIN(10,'Race skills'!C20+FLOOR((Attributes!E20-5)/$B$3,1)))</f>
        <v>2</v>
      </c>
      <c r="D21" s="13" t="n">
        <f aca="false">MAX(1,MIN(10,'Race skills'!D20+FLOOR((Attributes!E20-5)/$B$3,1)))</f>
        <v>1</v>
      </c>
      <c r="E21" s="13" t="n">
        <f aca="false">MAX(1,MIN(10,'Race skills'!E20+FLOOR((Attributes!K20-5)/$B$3,1)))</f>
        <v>9</v>
      </c>
      <c r="F21" s="13" t="n">
        <f aca="false">MAX(1,MIN(10,'Race skills'!F20+FLOOR((Attributes!F20-5)/$B$3,1)))</f>
        <v>7</v>
      </c>
      <c r="G21" s="13" t="n">
        <f aca="false">MAX(1,MIN(10,'Race skills'!G20+FLOOR((Attributes!F20-5)/$B$3,1)))</f>
        <v>7</v>
      </c>
      <c r="H21" s="13" t="n">
        <f aca="false">MAX(1,MIN(10,'Race skills'!H20+FLOOR((Attributes!F20-5)/$B$3,1)))</f>
        <v>3</v>
      </c>
      <c r="I21" s="13" t="n">
        <f aca="false">MAX(1,MIN(10,'Race skills'!I20+FLOOR((Attributes!J20-5)/$B$3,1)))</f>
        <v>5</v>
      </c>
      <c r="J21" s="13" t="n">
        <f aca="false">MAX(1,MIN(10,'Race skills'!J20+FLOOR((Attributes!K20-5)/$B$3,1)))</f>
        <v>7</v>
      </c>
      <c r="K21" s="13" t="n">
        <f aca="false">MAX(1,MIN(10,'Race skills'!K20+FLOOR((Attributes!J20-5)/$B$3,1)))</f>
        <v>4</v>
      </c>
      <c r="L21" s="13" t="n">
        <f aca="false">MAX(1,MIN(10,'Race skills'!L20+FLOOR((Attributes!I20-5)/$B$3,1)))</f>
        <v>2</v>
      </c>
      <c r="M21" s="13" t="n">
        <f aca="false">MAX(1,MIN(10,'Race skills'!M20+FLOOR((Attributes!I20-5)/$B$3,1)))</f>
        <v>5</v>
      </c>
      <c r="N21" s="13" t="n">
        <f aca="false">MAX(1,MIN(10,'Race skills'!N20+FLOOR((Attributes!L20-5)/$B$3,1)))</f>
        <v>2</v>
      </c>
    </row>
    <row r="22" customFormat="false" ht="15" hidden="false" customHeight="true" outlineLevel="0" collapsed="false">
      <c r="A22" s="20" t="str">
        <f aca="false">Attributes!A21</f>
        <v>Human Outcast</v>
      </c>
      <c r="B22" s="18" t="str">
        <f aca="false">Attributes!P21</f>
        <v>Melee</v>
      </c>
      <c r="C22" s="13" t="n">
        <f aca="false">MAX(1,MIN(10,'Race skills'!C21+FLOOR((Attributes!E21-5)/$B$3,1)))</f>
        <v>5</v>
      </c>
      <c r="D22" s="13" t="n">
        <f aca="false">MAX(1,MIN(10,'Race skills'!D21+FLOOR((Attributes!E21-5)/$B$3,1)))</f>
        <v>5</v>
      </c>
      <c r="E22" s="13" t="n">
        <f aca="false">MAX(1,MIN(10,'Race skills'!E21+FLOOR((Attributes!K21-5)/$B$3,1)))</f>
        <v>5</v>
      </c>
      <c r="F22" s="13" t="n">
        <f aca="false">MAX(1,MIN(10,'Race skills'!F21+FLOOR((Attributes!F21-5)/$B$3,1)))</f>
        <v>5</v>
      </c>
      <c r="G22" s="13" t="n">
        <f aca="false">MAX(1,MIN(10,'Race skills'!G21+FLOOR((Attributes!F21-5)/$B$3,1)))</f>
        <v>5</v>
      </c>
      <c r="H22" s="13" t="n">
        <f aca="false">MAX(1,MIN(10,'Race skills'!H21+FLOOR((Attributes!F21-5)/$B$3,1)))</f>
        <v>5</v>
      </c>
      <c r="I22" s="13" t="n">
        <f aca="false">MAX(1,MIN(10,'Race skills'!I21+FLOOR((Attributes!J21-5)/$B$3,1)))</f>
        <v>5</v>
      </c>
      <c r="J22" s="13" t="n">
        <f aca="false">MAX(1,MIN(10,'Race skills'!J21+FLOOR((Attributes!K21-5)/$B$3,1)))</f>
        <v>5</v>
      </c>
      <c r="K22" s="13" t="n">
        <f aca="false">MAX(1,MIN(10,'Race skills'!K21+FLOOR((Attributes!J21-5)/$B$3,1)))</f>
        <v>5</v>
      </c>
      <c r="L22" s="13" t="n">
        <f aca="false">MAX(1,MIN(10,'Race skills'!L21+FLOOR((Attributes!I21-5)/$B$3,1)))</f>
        <v>5</v>
      </c>
      <c r="M22" s="13" t="n">
        <f aca="false">MAX(1,MIN(10,'Race skills'!M21+FLOOR((Attributes!I21-5)/$B$3,1)))</f>
        <v>5</v>
      </c>
      <c r="N22" s="13" t="n">
        <f aca="false">MAX(1,MIN(10,'Race skills'!N21+FLOOR((Attributes!L21-5)/$B$3,1)))</f>
        <v>5</v>
      </c>
    </row>
    <row r="23" customFormat="false" ht="15" hidden="false" customHeight="false" outlineLevel="0" collapsed="false">
      <c r="A23" s="20" t="str">
        <f aca="false">Attributes!A22</f>
        <v>Ghoul</v>
      </c>
      <c r="B23" s="18" t="str">
        <f aca="false">Attributes!P22</f>
        <v>Melee</v>
      </c>
      <c r="C23" s="13" t="n">
        <f aca="false">MAX(1,MIN(10,'Race skills'!C22+FLOOR((Attributes!E22-5)/$B$3,1)))</f>
        <v>4</v>
      </c>
      <c r="D23" s="13" t="n">
        <f aca="false">MAX(1,MIN(10,'Race skills'!D22+FLOOR((Attributes!E22-5)/$B$3,1)))</f>
        <v>4</v>
      </c>
      <c r="E23" s="13" t="n">
        <f aca="false">MAX(1,MIN(10,'Race skills'!E22+FLOOR((Attributes!K22-5)/$B$3,1)))</f>
        <v>2</v>
      </c>
      <c r="F23" s="13" t="n">
        <f aca="false">MAX(1,MIN(10,'Race skills'!F22+FLOOR((Attributes!F22-5)/$B$3,1)))</f>
        <v>1</v>
      </c>
      <c r="G23" s="13" t="n">
        <f aca="false">MAX(1,MIN(10,'Race skills'!G22+FLOOR((Attributes!F22-5)/$B$3,1)))</f>
        <v>1</v>
      </c>
      <c r="H23" s="13" t="n">
        <f aca="false">MAX(1,MIN(10,'Race skills'!H22+FLOOR((Attributes!F22-5)/$B$3,1)))</f>
        <v>1</v>
      </c>
      <c r="I23" s="13" t="n">
        <f aca="false">MAX(1,MIN(10,'Race skills'!I22+FLOOR((Attributes!J22-5)/$B$3,1)))</f>
        <v>1</v>
      </c>
      <c r="J23" s="13" t="n">
        <f aca="false">MAX(1,MIN(10,'Race skills'!J22+FLOOR((Attributes!K22-5)/$B$3,1)))</f>
        <v>1</v>
      </c>
      <c r="K23" s="13" t="n">
        <f aca="false">MAX(1,MIN(10,'Race skills'!K22+FLOOR((Attributes!J22-5)/$B$3,1)))</f>
        <v>1</v>
      </c>
      <c r="L23" s="13" t="n">
        <f aca="false">MAX(1,MIN(10,'Race skills'!L22+FLOOR((Attributes!I22-5)/$B$3,1)))</f>
        <v>1</v>
      </c>
      <c r="M23" s="13" t="n">
        <f aca="false">MAX(1,MIN(10,'Race skills'!M22+FLOOR((Attributes!I22-5)/$B$3,1)))</f>
        <v>1</v>
      </c>
      <c r="N23" s="13" t="n">
        <f aca="false">MAX(1,MIN(10,'Race skills'!N22+FLOOR((Attributes!L22-5)/$B$3,1)))</f>
        <v>1</v>
      </c>
    </row>
    <row r="25" customFormat="false" ht="15" hidden="false" customHeight="true" outlineLevel="0" collapsed="false">
      <c r="A25" s="4" t="s">
        <v>98</v>
      </c>
    </row>
    <row r="26" customFormat="false" ht="15" hidden="false" customHeight="true" outlineLevel="0" collapsed="false">
      <c r="A26" s="3" t="s">
        <v>99</v>
      </c>
    </row>
    <row r="27" customFormat="false" ht="15" hidden="false" customHeight="true" outlineLevel="0" collapsed="false">
      <c r="A27" s="3" t="s">
        <v>100</v>
      </c>
    </row>
    <row r="28" customFormat="false" ht="15" hidden="false" customHeight="true" outlineLevel="0" collapsed="false">
      <c r="A28" s="3" t="s">
        <v>101</v>
      </c>
    </row>
    <row r="29" customFormat="false" ht="15" hidden="false" customHeight="true" outlineLevel="0" collapsed="false">
      <c r="A29" s="3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95"/>
  </cols>
  <sheetData>
    <row r="1" customFormat="false" ht="15" hidden="false" customHeight="true" outlineLevel="0" collapsed="false">
      <c r="A1" s="2" t="s">
        <v>103</v>
      </c>
    </row>
    <row r="2" customFormat="false" ht="15" hidden="false" customHeight="true" outlineLevel="0" collapsed="false">
      <c r="A2" s="15"/>
      <c r="B2" s="15"/>
    </row>
    <row r="3" customFormat="false" ht="15" hidden="false" customHeight="true" outlineLevel="0" collapsed="false">
      <c r="A3" s="4" t="s">
        <v>104</v>
      </c>
      <c r="B3" s="4" t="s">
        <v>105</v>
      </c>
    </row>
    <row r="4" customFormat="false" ht="15" hidden="false" customHeight="true" outlineLevel="0" collapsed="false">
      <c r="A4" s="15" t="s">
        <v>106</v>
      </c>
      <c r="B4" s="15" t="s">
        <v>107</v>
      </c>
    </row>
    <row r="5" customFormat="false" ht="15" hidden="false" customHeight="true" outlineLevel="0" collapsed="false">
      <c r="A5" s="15" t="s">
        <v>108</v>
      </c>
      <c r="B5" s="15" t="s">
        <v>109</v>
      </c>
    </row>
    <row r="6" customFormat="false" ht="15" hidden="false" customHeight="true" outlineLevel="0" collapsed="false">
      <c r="A6" s="15" t="s">
        <v>110</v>
      </c>
      <c r="B6" s="15" t="s">
        <v>111</v>
      </c>
    </row>
    <row r="7" customFormat="false" ht="15" hidden="false" customHeight="true" outlineLevel="0" collapsed="false">
      <c r="A7" s="15" t="s">
        <v>112</v>
      </c>
      <c r="B7" s="15" t="s">
        <v>113</v>
      </c>
    </row>
    <row r="8" customFormat="false" ht="15" hidden="false" customHeight="true" outlineLevel="0" collapsed="false">
      <c r="A8" s="15" t="s">
        <v>114</v>
      </c>
      <c r="B8" s="15" t="s">
        <v>115</v>
      </c>
    </row>
    <row r="9" customFormat="false" ht="15" hidden="false" customHeight="true" outlineLevel="0" collapsed="false">
      <c r="A9" s="15"/>
      <c r="B9" s="15"/>
    </row>
    <row r="10" customFormat="false" ht="15" hidden="false" customHeight="true" outlineLevel="0" collapsed="false">
      <c r="A10" s="4" t="s">
        <v>116</v>
      </c>
      <c r="B10" s="4" t="s">
        <v>117</v>
      </c>
    </row>
    <row r="11" customFormat="false" ht="15" hidden="false" customHeight="true" outlineLevel="0" collapsed="false">
      <c r="A11" s="15" t="s">
        <v>118</v>
      </c>
      <c r="B11" s="15" t="s">
        <v>119</v>
      </c>
    </row>
    <row r="12" customFormat="false" ht="15" hidden="false" customHeight="true" outlineLevel="0" collapsed="false">
      <c r="A12" s="15" t="s">
        <v>120</v>
      </c>
      <c r="B12" s="15" t="s">
        <v>121</v>
      </c>
    </row>
    <row r="13" customFormat="false" ht="15" hidden="false" customHeight="true" outlineLevel="0" collapsed="false">
      <c r="A13" s="15" t="s">
        <v>122</v>
      </c>
      <c r="B13" s="15" t="s">
        <v>123</v>
      </c>
    </row>
    <row r="14" customFormat="false" ht="15" hidden="false" customHeight="true" outlineLevel="0" collapsed="false">
      <c r="A14" s="15" t="s">
        <v>124</v>
      </c>
      <c r="B14" s="15" t="s">
        <v>125</v>
      </c>
    </row>
    <row r="15" customFormat="false" ht="15" hidden="false" customHeight="true" outlineLevel="0" collapsed="false">
      <c r="A15" s="15"/>
      <c r="B15" s="15"/>
    </row>
    <row r="16" customFormat="false" ht="15" hidden="false" customHeight="true" outlineLevel="0" collapsed="false">
      <c r="A16" s="4" t="s">
        <v>126</v>
      </c>
      <c r="B16" s="4"/>
    </row>
    <row r="17" customFormat="false" ht="15" hidden="false" customHeight="true" outlineLevel="0" collapsed="false">
      <c r="A17" s="15" t="s">
        <v>127</v>
      </c>
      <c r="B17" s="15" t="s">
        <v>128</v>
      </c>
    </row>
    <row r="18" customFormat="false" ht="15" hidden="false" customHeight="true" outlineLevel="0" collapsed="false">
      <c r="A18" s="15" t="s">
        <v>129</v>
      </c>
      <c r="B18" s="15" t="s">
        <v>130</v>
      </c>
    </row>
    <row r="19" customFormat="false" ht="15" hidden="false" customHeight="true" outlineLevel="0" collapsed="false">
      <c r="A19" s="15" t="s">
        <v>131</v>
      </c>
      <c r="B19" s="15" t="s">
        <v>132</v>
      </c>
    </row>
    <row r="20" customFormat="false" ht="15" hidden="false" customHeight="true" outlineLevel="0" collapsed="false">
      <c r="A20" s="15" t="s">
        <v>133</v>
      </c>
      <c r="B20" s="15" t="s">
        <v>134</v>
      </c>
    </row>
    <row r="21" customFormat="false" ht="15" hidden="false" customHeight="true" outlineLevel="0" collapsed="false">
      <c r="A21" s="15" t="s">
        <v>135</v>
      </c>
      <c r="B21" s="1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2026-08-03T03:35:16Z</dcterms:created>
  <dc:creator>openpyxl</dc:creator>
  <dc:description/>
  <dc:language>en-US</dc:language>
  <cp:lastModifiedBy/>
  <dcterms:modified xsi:type="dcterms:W3CDTF">2026-09-27T10:10:28Z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