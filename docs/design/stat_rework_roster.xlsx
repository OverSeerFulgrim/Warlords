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ributes" sheetId="1" state="visible" r:id="rId1"/>
    <sheet xmlns:r="http://schemas.openxmlformats.org/officeDocument/2006/relationships" name="Skill templates" sheetId="2" state="visible" r:id="rId2"/>
    <sheet xmlns:r="http://schemas.openxmlformats.org/officeDocument/2006/relationships" name="Race skills" sheetId="3" state="visible" r:id="rId3"/>
    <sheet xmlns:r="http://schemas.openxmlformats.org/officeDocument/2006/relationships" name="Effective skills" sheetId="4" state="visible" r:id="rId4"/>
    <sheet xmlns:r="http://schemas.openxmlformats.org/officeDocument/2006/relationships" name="Leg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3B3B3B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wrapText="1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2" fontId="6" fillId="4" borderId="1" applyAlignment="1" pivotButton="0" quotePrefix="0" xfId="0">
      <alignment horizontal="center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7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Race attributes — hand-authored (COMBAT_SPEC section 12, step 1)</t>
        </is>
      </c>
    </row>
    <row r="2">
      <c r="A2" s="2" t="inlineStr">
        <is>
          <t>Blue cells are the only ones to edit here. Everything to the right of Loyalty is a formula derived from them, and every skill on the other sheets reads these values.</t>
        </is>
      </c>
      <c r="Q2" s="3" t="inlineStr">
        <is>
          <t>Walk divisor</t>
        </is>
      </c>
      <c r="R2" s="4" t="n">
        <v>10</v>
      </c>
      <c r="S2" s="2" t="inlineStr">
        <is>
          <t>10 = walk speeds step by 0.10 per point. 20 = 0.05 steps, closer to the old RACES.md values.</t>
        </is>
      </c>
    </row>
    <row r="4">
      <c r="A4" s="5" t="inlineStr">
        <is>
          <t>Race</t>
        </is>
      </c>
      <c r="B4" s="5" t="inlineStr">
        <is>
          <t>Category</t>
        </is>
      </c>
      <c r="C4" s="5" t="inlineStr">
        <is>
          <t>Alignment</t>
        </is>
      </c>
      <c r="D4" s="5" t="inlineStr">
        <is>
          <t>Rarity</t>
        </is>
      </c>
      <c r="E4" s="5" t="inlineStr">
        <is>
          <t>Strength</t>
        </is>
      </c>
      <c r="F4" s="5" t="inlineStr">
        <is>
          <t>Dexterity</t>
        </is>
      </c>
      <c r="G4" s="5" t="inlineStr">
        <is>
          <t>Speed</t>
        </is>
      </c>
      <c r="H4" s="5" t="inlineStr">
        <is>
          <t>Endurance</t>
        </is>
      </c>
      <c r="I4" s="5" t="inlineStr">
        <is>
          <t>Intelligence</t>
        </is>
      </c>
      <c r="J4" s="5" t="inlineStr">
        <is>
          <t>Guile</t>
        </is>
      </c>
      <c r="K4" s="5" t="inlineStr">
        <is>
          <t>Perception</t>
        </is>
      </c>
      <c r="L4" s="5" t="inlineStr">
        <is>
          <t>Tact</t>
        </is>
      </c>
      <c r="M4" s="5" t="inlineStr">
        <is>
          <t>Loyalty</t>
        </is>
      </c>
      <c r="N4" s="5" t="inlineStr">
        <is>
          <t>max hp</t>
        </is>
      </c>
      <c r="O4" s="5" t="inlineStr">
        <is>
          <t>walk speed</t>
        </is>
      </c>
      <c r="P4" s="5" t="inlineStr">
        <is>
          <t>attack profile</t>
        </is>
      </c>
    </row>
    <row r="5">
      <c r="A5" s="6" t="inlineStr">
        <is>
          <t>Human Peasant (ref)</t>
        </is>
      </c>
      <c r="B5" s="6" t="inlineStr">
        <is>
          <t>—</t>
        </is>
      </c>
      <c r="C5" s="6" t="inlineStr">
        <is>
          <t>Neutral</t>
        </is>
      </c>
      <c r="D5" s="6" t="inlineStr">
        <is>
          <t>not recruitable</t>
        </is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N5" s="8">
        <f>8+H5*2</f>
        <v/>
      </c>
      <c r="O5" s="9">
        <f>1+(G5-5)/$R$2</f>
        <v/>
      </c>
      <c r="P5" s="8">
        <f>IF(AND(E5&gt;=F5,E5&gt;=I5),"Melee",IF(F5&gt;=I5,"Ranged","Arcane"))</f>
        <v/>
      </c>
    </row>
    <row r="6">
      <c r="A6" s="10" t="inlineStr">
        <is>
          <t>Skeleton Worker</t>
        </is>
      </c>
      <c r="B6" s="10" t="inlineStr">
        <is>
          <t>Labor</t>
        </is>
      </c>
      <c r="C6" s="10" t="inlineStr">
        <is>
          <t>Undead</t>
        </is>
      </c>
      <c r="D6" s="10" t="inlineStr">
        <is>
          <t>player-made</t>
        </is>
      </c>
      <c r="E6" s="11" t="n">
        <v>4</v>
      </c>
      <c r="F6" s="11" t="n">
        <v>2</v>
      </c>
      <c r="G6" s="11" t="n">
        <v>4</v>
      </c>
      <c r="H6" s="11" t="n">
        <v>4</v>
      </c>
      <c r="I6" s="11" t="n">
        <v>1</v>
      </c>
      <c r="J6" s="11" t="n">
        <v>1</v>
      </c>
      <c r="K6" s="11" t="n">
        <v>2</v>
      </c>
      <c r="L6" s="11" t="n">
        <v>1</v>
      </c>
      <c r="M6" s="11" t="n">
        <v>10</v>
      </c>
      <c r="N6" s="12">
        <f>8+H6*2</f>
        <v/>
      </c>
      <c r="O6" s="13">
        <f>1+(G6-5)/$R$2</f>
        <v/>
      </c>
      <c r="P6" s="12">
        <f>IF(AND(E6&gt;=F6,E6&gt;=I6),"Melee",IF(F6&gt;=I6,"Ranged","Arcane"))</f>
        <v/>
      </c>
    </row>
    <row r="7">
      <c r="A7" s="10" t="inlineStr">
        <is>
          <t>Orc</t>
        </is>
      </c>
      <c r="B7" s="10" t="inlineStr">
        <is>
          <t>Warrior</t>
        </is>
      </c>
      <c r="C7" s="10" t="inlineStr">
        <is>
          <t>Evil</t>
        </is>
      </c>
      <c r="D7" s="10" t="inlineStr">
        <is>
          <t>Common</t>
        </is>
      </c>
      <c r="E7" s="11" t="n">
        <v>7</v>
      </c>
      <c r="F7" s="11" t="n">
        <v>4</v>
      </c>
      <c r="G7" s="11" t="n">
        <v>5</v>
      </c>
      <c r="H7" s="11" t="n">
        <v>7</v>
      </c>
      <c r="I7" s="11" t="n">
        <v>3</v>
      </c>
      <c r="J7" s="11" t="n">
        <v>4</v>
      </c>
      <c r="K7" s="11" t="n">
        <v>4</v>
      </c>
      <c r="L7" s="11" t="n">
        <v>5</v>
      </c>
      <c r="M7" s="11" t="n">
        <v>5</v>
      </c>
      <c r="N7" s="12">
        <f>8+H7*2</f>
        <v/>
      </c>
      <c r="O7" s="13">
        <f>1+(G7-5)/$R$2</f>
        <v/>
      </c>
      <c r="P7" s="12">
        <f>IF(AND(E7&gt;=F7,E7&gt;=I7),"Melee",IF(F7&gt;=I7,"Ranged","Arcane"))</f>
        <v/>
      </c>
    </row>
    <row r="8">
      <c r="A8" s="10" t="inlineStr">
        <is>
          <t>Hobgoblin</t>
        </is>
      </c>
      <c r="B8" s="10" t="inlineStr">
        <is>
          <t>Warrior</t>
        </is>
      </c>
      <c r="C8" s="10" t="inlineStr">
        <is>
          <t>Evil</t>
        </is>
      </c>
      <c r="D8" s="10" t="inlineStr">
        <is>
          <t>Uncommon</t>
        </is>
      </c>
      <c r="E8" s="11" t="n">
        <v>6</v>
      </c>
      <c r="F8" s="11" t="n">
        <v>5</v>
      </c>
      <c r="G8" s="11" t="n">
        <v>5</v>
      </c>
      <c r="H8" s="11" t="n">
        <v>6</v>
      </c>
      <c r="I8" s="11" t="n">
        <v>5</v>
      </c>
      <c r="J8" s="11" t="n">
        <v>5</v>
      </c>
      <c r="K8" s="11" t="n">
        <v>5</v>
      </c>
      <c r="L8" s="11" t="n">
        <v>7</v>
      </c>
      <c r="M8" s="11" t="n">
        <v>6</v>
      </c>
      <c r="N8" s="12">
        <f>8+H8*2</f>
        <v/>
      </c>
      <c r="O8" s="13">
        <f>1+(G8-5)/$R$2</f>
        <v/>
      </c>
      <c r="P8" s="12">
        <f>IF(AND(E8&gt;=F8,E8&gt;=I8),"Melee",IF(F8&gt;=I8,"Ranged","Arcane"))</f>
        <v/>
      </c>
    </row>
    <row r="9">
      <c r="A9" s="10" t="inlineStr">
        <is>
          <t>Ogre</t>
        </is>
      </c>
      <c r="B9" s="10" t="inlineStr">
        <is>
          <t>Warrior</t>
        </is>
      </c>
      <c r="C9" s="10" t="inlineStr">
        <is>
          <t>Chaotic</t>
        </is>
      </c>
      <c r="D9" s="10" t="inlineStr">
        <is>
          <t>Uncommon</t>
        </is>
      </c>
      <c r="E9" s="11" t="n">
        <v>9</v>
      </c>
      <c r="F9" s="11" t="n">
        <v>2</v>
      </c>
      <c r="G9" s="11" t="n">
        <v>3</v>
      </c>
      <c r="H9" s="11" t="n">
        <v>8</v>
      </c>
      <c r="I9" s="11" t="n">
        <v>2</v>
      </c>
      <c r="J9" s="11" t="n">
        <v>2</v>
      </c>
      <c r="K9" s="11" t="n">
        <v>2</v>
      </c>
      <c r="L9" s="11" t="n">
        <v>2</v>
      </c>
      <c r="M9" s="11" t="n">
        <v>4</v>
      </c>
      <c r="N9" s="12">
        <f>8+H9*2</f>
        <v/>
      </c>
      <c r="O9" s="13">
        <f>1+(G9-5)/$R$2</f>
        <v/>
      </c>
      <c r="P9" s="12">
        <f>IF(AND(E9&gt;=F9,E9&gt;=I9),"Melee",IF(F9&gt;=I9,"Ranged","Arcane"))</f>
        <v/>
      </c>
    </row>
    <row r="10">
      <c r="A10" s="10" t="inlineStr">
        <is>
          <t>Troll</t>
        </is>
      </c>
      <c r="B10" s="10" t="inlineStr">
        <is>
          <t>Warrior</t>
        </is>
      </c>
      <c r="C10" s="10" t="inlineStr">
        <is>
          <t>Chaotic</t>
        </is>
      </c>
      <c r="D10" s="10" t="inlineStr">
        <is>
          <t>Rare</t>
        </is>
      </c>
      <c r="E10" s="11" t="n">
        <v>9</v>
      </c>
      <c r="F10" s="11" t="n">
        <v>3</v>
      </c>
      <c r="G10" s="11" t="n">
        <v>4</v>
      </c>
      <c r="H10" s="11" t="n">
        <v>9</v>
      </c>
      <c r="I10" s="11" t="n">
        <v>1</v>
      </c>
      <c r="J10" s="11" t="n">
        <v>2</v>
      </c>
      <c r="K10" s="11" t="n">
        <v>4</v>
      </c>
      <c r="L10" s="11" t="n">
        <v>1</v>
      </c>
      <c r="M10" s="11" t="n">
        <v>3</v>
      </c>
      <c r="N10" s="12">
        <f>8+H10*2</f>
        <v/>
      </c>
      <c r="O10" s="13">
        <f>1+(G10-5)/$R$2</f>
        <v/>
      </c>
      <c r="P10" s="12">
        <f>IF(AND(E10&gt;=F10,E10&gt;=I10),"Melee",IF(F10&gt;=I10,"Ranged","Arcane"))</f>
        <v/>
      </c>
    </row>
    <row r="11">
      <c r="A11" s="10" t="inlineStr">
        <is>
          <t>Gray Dwarf</t>
        </is>
      </c>
      <c r="B11" s="10" t="inlineStr">
        <is>
          <t>Economy</t>
        </is>
      </c>
      <c r="C11" s="10" t="inlineStr">
        <is>
          <t>Evil</t>
        </is>
      </c>
      <c r="D11" s="10" t="inlineStr">
        <is>
          <t>Uncommon</t>
        </is>
      </c>
      <c r="E11" s="11" t="n">
        <v>6</v>
      </c>
      <c r="F11" s="11" t="n">
        <v>6</v>
      </c>
      <c r="G11" s="11" t="n">
        <v>4</v>
      </c>
      <c r="H11" s="11" t="n">
        <v>7</v>
      </c>
      <c r="I11" s="11" t="n">
        <v>5</v>
      </c>
      <c r="J11" s="11" t="n">
        <v>4</v>
      </c>
      <c r="K11" s="11" t="n">
        <v>4</v>
      </c>
      <c r="L11" s="11" t="n">
        <v>5</v>
      </c>
      <c r="M11" s="11" t="n">
        <v>6</v>
      </c>
      <c r="N11" s="12">
        <f>8+H11*2</f>
        <v/>
      </c>
      <c r="O11" s="13">
        <f>1+(G11-5)/$R$2</f>
        <v/>
      </c>
      <c r="P11" s="12">
        <f>IF(AND(E11&gt;=F11,E11&gt;=I11),"Melee",IF(F11&gt;=I11,"Ranged","Arcane"))</f>
        <v/>
      </c>
    </row>
    <row r="12">
      <c r="A12" s="10" t="inlineStr">
        <is>
          <t>Kobold</t>
        </is>
      </c>
      <c r="B12" s="10" t="inlineStr">
        <is>
          <t>Economy</t>
        </is>
      </c>
      <c r="C12" s="10" t="inlineStr">
        <is>
          <t>Chaotic</t>
        </is>
      </c>
      <c r="D12" s="10" t="inlineStr">
        <is>
          <t>Common</t>
        </is>
      </c>
      <c r="E12" s="11" t="n">
        <v>2</v>
      </c>
      <c r="F12" s="11" t="n">
        <v>6</v>
      </c>
      <c r="G12" s="11" t="n">
        <v>6</v>
      </c>
      <c r="H12" s="11" t="n">
        <v>3</v>
      </c>
      <c r="I12" s="11" t="n">
        <v>4</v>
      </c>
      <c r="J12" s="11" t="n">
        <v>6</v>
      </c>
      <c r="K12" s="11" t="n">
        <v>5</v>
      </c>
      <c r="L12" s="11" t="n">
        <v>4</v>
      </c>
      <c r="M12" s="11" t="n">
        <v>4</v>
      </c>
      <c r="N12" s="12">
        <f>8+H12*2</f>
        <v/>
      </c>
      <c r="O12" s="13">
        <f>1+(G12-5)/$R$2</f>
        <v/>
      </c>
      <c r="P12" s="12">
        <f>IF(AND(E12&gt;=F12,E12&gt;=I12),"Melee",IF(F12&gt;=I12,"Ranged","Arcane"))</f>
        <v/>
      </c>
    </row>
    <row r="13">
      <c r="A13" s="10" t="inlineStr">
        <is>
          <t>Minotaur</t>
        </is>
      </c>
      <c r="B13" s="10" t="inlineStr">
        <is>
          <t>Economy</t>
        </is>
      </c>
      <c r="C13" s="10" t="inlineStr">
        <is>
          <t>Neutral</t>
        </is>
      </c>
      <c r="D13" s="10" t="inlineStr">
        <is>
          <t>Uncommon</t>
        </is>
      </c>
      <c r="E13" s="11" t="n">
        <v>8</v>
      </c>
      <c r="F13" s="11" t="n">
        <v>3</v>
      </c>
      <c r="G13" s="11" t="n">
        <v>6</v>
      </c>
      <c r="H13" s="11" t="n">
        <v>8</v>
      </c>
      <c r="I13" s="11" t="n">
        <v>4</v>
      </c>
      <c r="J13" s="11" t="n">
        <v>3</v>
      </c>
      <c r="K13" s="11" t="n">
        <v>3</v>
      </c>
      <c r="L13" s="11" t="n">
        <v>5</v>
      </c>
      <c r="M13" s="11" t="n">
        <v>5</v>
      </c>
      <c r="N13" s="12">
        <f>8+H13*2</f>
        <v/>
      </c>
      <c r="O13" s="13">
        <f>1+(G13-5)/$R$2</f>
        <v/>
      </c>
      <c r="P13" s="12">
        <f>IF(AND(E13&gt;=F13,E13&gt;=I13),"Melee",IF(F13&gt;=I13,"Ranged","Arcane"))</f>
        <v/>
      </c>
    </row>
    <row r="14">
      <c r="A14" s="10" t="inlineStr">
        <is>
          <t>Mountain Dwarf</t>
        </is>
      </c>
      <c r="B14" s="10" t="inlineStr">
        <is>
          <t>Economy</t>
        </is>
      </c>
      <c r="C14" s="10" t="inlineStr">
        <is>
          <t>Good</t>
        </is>
      </c>
      <c r="D14" s="10" t="inlineStr">
        <is>
          <t>Rare</t>
        </is>
      </c>
      <c r="E14" s="11" t="n">
        <v>6</v>
      </c>
      <c r="F14" s="11" t="n">
        <v>6</v>
      </c>
      <c r="G14" s="11" t="n">
        <v>4</v>
      </c>
      <c r="H14" s="11" t="n">
        <v>7</v>
      </c>
      <c r="I14" s="11" t="n">
        <v>6</v>
      </c>
      <c r="J14" s="11" t="n">
        <v>3</v>
      </c>
      <c r="K14" s="11" t="n">
        <v>4</v>
      </c>
      <c r="L14" s="11" t="n">
        <v>6</v>
      </c>
      <c r="M14" s="11" t="n">
        <v>7</v>
      </c>
      <c r="N14" s="12">
        <f>8+H14*2</f>
        <v/>
      </c>
      <c r="O14" s="13">
        <f>1+(G14-5)/$R$2</f>
        <v/>
      </c>
      <c r="P14" s="12">
        <f>IF(AND(E14&gt;=F14,E14&gt;=I14),"Melee",IF(F14&gt;=I14,"Ranged","Arcane"))</f>
        <v/>
      </c>
    </row>
    <row r="15">
      <c r="A15" s="10" t="inlineStr">
        <is>
          <t>Gnome</t>
        </is>
      </c>
      <c r="B15" s="10" t="inlineStr">
        <is>
          <t>Research</t>
        </is>
      </c>
      <c r="C15" s="10" t="inlineStr">
        <is>
          <t>Neutral</t>
        </is>
      </c>
      <c r="D15" s="10" t="inlineStr">
        <is>
          <t>Uncommon</t>
        </is>
      </c>
      <c r="E15" s="11" t="n">
        <v>2</v>
      </c>
      <c r="F15" s="11" t="n">
        <v>6</v>
      </c>
      <c r="G15" s="11" t="n">
        <v>4</v>
      </c>
      <c r="H15" s="11" t="n">
        <v>3</v>
      </c>
      <c r="I15" s="11" t="n">
        <v>8</v>
      </c>
      <c r="J15" s="11" t="n">
        <v>5</v>
      </c>
      <c r="K15" s="11" t="n">
        <v>6</v>
      </c>
      <c r="L15" s="11" t="n">
        <v>2</v>
      </c>
      <c r="M15" s="11" t="n">
        <v>5</v>
      </c>
      <c r="N15" s="12">
        <f>8+H15*2</f>
        <v/>
      </c>
      <c r="O15" s="13">
        <f>1+(G15-5)/$R$2</f>
        <v/>
      </c>
      <c r="P15" s="12">
        <f>IF(AND(E15&gt;=F15,E15&gt;=I15),"Melee",IF(F15&gt;=I15,"Ranged","Arcane"))</f>
        <v/>
      </c>
    </row>
    <row r="16">
      <c r="A16" s="10" t="inlineStr">
        <is>
          <t>Dark Elf</t>
        </is>
      </c>
      <c r="B16" s="10" t="inlineStr">
        <is>
          <t>Research</t>
        </is>
      </c>
      <c r="C16" s="10" t="inlineStr">
        <is>
          <t>Evil</t>
        </is>
      </c>
      <c r="D16" s="10" t="inlineStr">
        <is>
          <t>Uncommon</t>
        </is>
      </c>
      <c r="E16" s="11" t="n">
        <v>4</v>
      </c>
      <c r="F16" s="11" t="n">
        <v>7</v>
      </c>
      <c r="G16" s="11" t="n">
        <v>6</v>
      </c>
      <c r="H16" s="11" t="n">
        <v>4</v>
      </c>
      <c r="I16" s="11" t="n">
        <v>7</v>
      </c>
      <c r="J16" s="11" t="n">
        <v>7</v>
      </c>
      <c r="K16" s="11" t="n">
        <v>7</v>
      </c>
      <c r="L16" s="11" t="n">
        <v>6</v>
      </c>
      <c r="M16" s="11" t="n">
        <v>4</v>
      </c>
      <c r="N16" s="12">
        <f>8+H16*2</f>
        <v/>
      </c>
      <c r="O16" s="13">
        <f>1+(G16-5)/$R$2</f>
        <v/>
      </c>
      <c r="P16" s="12">
        <f>IF(AND(E16&gt;=F16,E16&gt;=I16),"Melee",IF(F16&gt;=I16,"Ranged","Arcane"))</f>
        <v/>
      </c>
    </row>
    <row r="17">
      <c r="A17" s="10" t="inlineStr">
        <is>
          <t>High Elf</t>
        </is>
      </c>
      <c r="B17" s="10" t="inlineStr">
        <is>
          <t>Research</t>
        </is>
      </c>
      <c r="C17" s="10" t="inlineStr">
        <is>
          <t>Good</t>
        </is>
      </c>
      <c r="D17" s="10" t="inlineStr">
        <is>
          <t>Rare</t>
        </is>
      </c>
      <c r="E17" s="11" t="n">
        <v>4</v>
      </c>
      <c r="F17" s="11" t="n">
        <v>6</v>
      </c>
      <c r="G17" s="11" t="n">
        <v>6</v>
      </c>
      <c r="H17" s="11" t="n">
        <v>4</v>
      </c>
      <c r="I17" s="11" t="n">
        <v>8</v>
      </c>
      <c r="J17" s="11" t="n">
        <v>4</v>
      </c>
      <c r="K17" s="11" t="n">
        <v>8</v>
      </c>
      <c r="L17" s="11" t="n">
        <v>6</v>
      </c>
      <c r="M17" s="11" t="n">
        <v>5</v>
      </c>
      <c r="N17" s="12">
        <f>8+H17*2</f>
        <v/>
      </c>
      <c r="O17" s="13">
        <f>1+(G17-5)/$R$2</f>
        <v/>
      </c>
      <c r="P17" s="12">
        <f>IF(AND(E17&gt;=F17,E17&gt;=I17),"Melee",IF(F17&gt;=I17,"Ranged","Arcane"))</f>
        <v/>
      </c>
    </row>
    <row r="18">
      <c r="A18" s="10" t="inlineStr">
        <is>
          <t>Goblin</t>
        </is>
      </c>
      <c r="B18" s="10" t="inlineStr">
        <is>
          <t>Foraging</t>
        </is>
      </c>
      <c r="C18" s="10" t="inlineStr">
        <is>
          <t>Chaotic</t>
        </is>
      </c>
      <c r="D18" s="10" t="inlineStr">
        <is>
          <t>Common</t>
        </is>
      </c>
      <c r="E18" s="11" t="n">
        <v>3</v>
      </c>
      <c r="F18" s="11" t="n">
        <v>6</v>
      </c>
      <c r="G18" s="11" t="n">
        <v>7</v>
      </c>
      <c r="H18" s="11" t="n">
        <v>3</v>
      </c>
      <c r="I18" s="11" t="n">
        <v>4</v>
      </c>
      <c r="J18" s="11" t="n">
        <v>6</v>
      </c>
      <c r="K18" s="11" t="n">
        <v>6</v>
      </c>
      <c r="L18" s="11" t="n">
        <v>5</v>
      </c>
      <c r="M18" s="11" t="n">
        <v>3</v>
      </c>
      <c r="N18" s="12">
        <f>8+H18*2</f>
        <v/>
      </c>
      <c r="O18" s="13">
        <f>1+(G18-5)/$R$2</f>
        <v/>
      </c>
      <c r="P18" s="12">
        <f>IF(AND(E18&gt;=F18,E18&gt;=I18),"Melee",IF(F18&gt;=I18,"Ranged","Arcane"))</f>
        <v/>
      </c>
    </row>
    <row r="19">
      <c r="A19" s="10" t="inlineStr">
        <is>
          <t>Gnoll</t>
        </is>
      </c>
      <c r="B19" s="10" t="inlineStr">
        <is>
          <t>Foraging</t>
        </is>
      </c>
      <c r="C19" s="10" t="inlineStr">
        <is>
          <t>Chaotic</t>
        </is>
      </c>
      <c r="D19" s="10" t="inlineStr">
        <is>
          <t>Common</t>
        </is>
      </c>
      <c r="E19" s="11" t="n">
        <v>5</v>
      </c>
      <c r="F19" s="11" t="n">
        <v>6</v>
      </c>
      <c r="G19" s="11" t="n">
        <v>7</v>
      </c>
      <c r="H19" s="11" t="n">
        <v>5</v>
      </c>
      <c r="I19" s="11" t="n">
        <v>3</v>
      </c>
      <c r="J19" s="11" t="n">
        <v>4</v>
      </c>
      <c r="K19" s="11" t="n">
        <v>7</v>
      </c>
      <c r="L19" s="11" t="n">
        <v>4</v>
      </c>
      <c r="M19" s="11" t="n">
        <v>4</v>
      </c>
      <c r="N19" s="12">
        <f>8+H19*2</f>
        <v/>
      </c>
      <c r="O19" s="13">
        <f>1+(G19-5)/$R$2</f>
        <v/>
      </c>
      <c r="P19" s="12">
        <f>IF(AND(E19&gt;=F19,E19&gt;=I19),"Melee",IF(F19&gt;=I19,"Ranged","Arcane"))</f>
        <v/>
      </c>
    </row>
    <row r="20">
      <c r="A20" s="10" t="inlineStr">
        <is>
          <t>Halfling</t>
        </is>
      </c>
      <c r="B20" s="10" t="inlineStr">
        <is>
          <t>Foraging</t>
        </is>
      </c>
      <c r="C20" s="10" t="inlineStr">
        <is>
          <t>Good</t>
        </is>
      </c>
      <c r="D20" s="10" t="inlineStr">
        <is>
          <t>Rare</t>
        </is>
      </c>
      <c r="E20" s="11" t="n">
        <v>3</v>
      </c>
      <c r="F20" s="11" t="n">
        <v>6</v>
      </c>
      <c r="G20" s="11" t="n">
        <v>5</v>
      </c>
      <c r="H20" s="11" t="n">
        <v>4</v>
      </c>
      <c r="I20" s="11" t="n">
        <v>5</v>
      </c>
      <c r="J20" s="11" t="n">
        <v>4</v>
      </c>
      <c r="K20" s="11" t="n">
        <v>7</v>
      </c>
      <c r="L20" s="11" t="n">
        <v>3</v>
      </c>
      <c r="M20" s="11" t="n">
        <v>6</v>
      </c>
      <c r="N20" s="12">
        <f>8+H20*2</f>
        <v/>
      </c>
      <c r="O20" s="13">
        <f>1+(G20-5)/$R$2</f>
        <v/>
      </c>
      <c r="P20" s="12">
        <f>IF(AND(E20&gt;=F20,E20&gt;=I20),"Melee",IF(F20&gt;=I20,"Ranged","Arcane"))</f>
        <v/>
      </c>
    </row>
    <row r="21">
      <c r="A21" s="10" t="inlineStr">
        <is>
          <t>Human Outcast</t>
        </is>
      </c>
      <c r="B21" s="10" t="inlineStr">
        <is>
          <t>Versatile</t>
        </is>
      </c>
      <c r="C21" s="10" t="inlineStr">
        <is>
          <t>Neutral</t>
        </is>
      </c>
      <c r="D21" s="10" t="inlineStr">
        <is>
          <t>Uncommon</t>
        </is>
      </c>
      <c r="E21" s="11" t="n">
        <v>5</v>
      </c>
      <c r="F21" s="11" t="n">
        <v>5</v>
      </c>
      <c r="G21" s="11" t="n">
        <v>5</v>
      </c>
      <c r="H21" s="11" t="n">
        <v>5</v>
      </c>
      <c r="I21" s="11" t="n">
        <v>5</v>
      </c>
      <c r="J21" s="11" t="n">
        <v>5</v>
      </c>
      <c r="K21" s="11" t="n">
        <v>5</v>
      </c>
      <c r="L21" s="11" t="n">
        <v>5</v>
      </c>
      <c r="M21" s="11" t="n">
        <v>5</v>
      </c>
      <c r="N21" s="12">
        <f>8+H21*2</f>
        <v/>
      </c>
      <c r="O21" s="13">
        <f>1+(G21-5)/$R$2</f>
        <v/>
      </c>
      <c r="P21" s="12">
        <f>IF(AND(E21&gt;=F21,E21&gt;=I21),"Melee",IF(F21&gt;=I21,"Ranged","Arcane"))</f>
        <v/>
      </c>
    </row>
    <row r="23">
      <c r="A23" s="3" t="inlineStr">
        <is>
          <t>Formulas</t>
        </is>
      </c>
    </row>
    <row r="24">
      <c r="A24" s="2" t="inlineStr">
        <is>
          <t>max hp = 8 + Endurance x 2</t>
        </is>
      </c>
    </row>
    <row r="25">
      <c r="A25" s="2" t="inlineStr">
        <is>
          <t>walk speed = 1.0 + (Speed - 5) / 10   — Speed 5 is one grid cell per second</t>
        </is>
      </c>
    </row>
    <row r="26">
      <c r="A26" s="2" t="inlineStr">
        <is>
          <t>attack profile = highest of Strength / Dexterity / Intelligence, ties resolve Str &gt; Dex &gt; Int</t>
        </is>
      </c>
    </row>
    <row r="27">
      <c r="A27" s="2" t="inlineStr">
        <is>
          <t>Human Peasant is the 1-10 reference and is not recruitable. Skeleton Worker is player-made and rolls no variance.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Skill templates — hand-authored (COMBAT_SPEC section 12, step 2)</t>
        </is>
      </c>
    </row>
    <row r="2">
      <c r="A2" s="2" t="inlineStr">
        <is>
          <t>Six templates replace 204 hand-picked skill numbers. A race takes a template and overrides only what its identity demands.</t>
        </is>
      </c>
    </row>
    <row r="4">
      <c r="A4" s="5" t="inlineStr">
        <is>
          <t>Template</t>
        </is>
      </c>
      <c r="B4" s="5" t="inlineStr">
        <is>
          <t>Woodcutting</t>
        </is>
      </c>
      <c r="C4" s="5" t="inlineStr">
        <is>
          <t>Mining</t>
        </is>
      </c>
      <c r="D4" s="5" t="inlineStr">
        <is>
          <t>Foraging</t>
        </is>
      </c>
      <c r="E4" s="5" t="inlineStr">
        <is>
          <t>Hunting</t>
        </is>
      </c>
      <c r="F4" s="5" t="inlineStr">
        <is>
          <t>Fishing</t>
        </is>
      </c>
      <c r="G4" s="5" t="inlineStr">
        <is>
          <t>Crafting</t>
        </is>
      </c>
      <c r="H4" s="5" t="inlineStr">
        <is>
          <t>Trapper</t>
        </is>
      </c>
      <c r="I4" s="5" t="inlineStr">
        <is>
          <t>Scouting</t>
        </is>
      </c>
      <c r="J4" s="5" t="inlineStr">
        <is>
          <t>Mercantile</t>
        </is>
      </c>
      <c r="K4" s="5" t="inlineStr">
        <is>
          <t>Research</t>
        </is>
      </c>
      <c r="L4" s="5" t="inlineStr">
        <is>
          <t>Surgeon</t>
        </is>
      </c>
      <c r="M4" s="5" t="inlineStr">
        <is>
          <t>Leadership</t>
        </is>
      </c>
    </row>
    <row r="5">
      <c r="A5" s="10" t="inlineStr">
        <is>
          <t>labor</t>
        </is>
      </c>
      <c r="B5" s="11" t="n">
        <v>3</v>
      </c>
      <c r="C5" s="11" t="n">
        <v>3</v>
      </c>
      <c r="D5" s="11" t="n">
        <v>2</v>
      </c>
      <c r="E5" s="11" t="n">
        <v>1</v>
      </c>
      <c r="F5" s="11" t="n">
        <v>1</v>
      </c>
      <c r="G5" s="11" t="n">
        <v>1</v>
      </c>
      <c r="H5" s="11" t="n">
        <v>1</v>
      </c>
      <c r="I5" s="11" t="n">
        <v>1</v>
      </c>
      <c r="J5" s="11" t="n">
        <v>1</v>
      </c>
      <c r="K5" s="11" t="n">
        <v>1</v>
      </c>
      <c r="L5" s="11" t="n">
        <v>1</v>
      </c>
      <c r="M5" s="11" t="n">
        <v>1</v>
      </c>
    </row>
    <row r="6">
      <c r="A6" s="10" t="inlineStr">
        <is>
          <t>warrior</t>
        </is>
      </c>
      <c r="B6" s="11" t="n">
        <v>5</v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3</v>
      </c>
      <c r="I6" s="11" t="n">
        <v>4</v>
      </c>
      <c r="J6" s="11" t="n">
        <v>3</v>
      </c>
      <c r="K6" s="11" t="n">
        <v>2</v>
      </c>
      <c r="L6" s="11" t="n">
        <v>2</v>
      </c>
      <c r="M6" s="11" t="n">
        <v>5</v>
      </c>
    </row>
    <row r="7">
      <c r="A7" s="10" t="inlineStr">
        <is>
          <t>miner</t>
        </is>
      </c>
      <c r="B7" s="11" t="n">
        <v>4</v>
      </c>
      <c r="C7" s="11" t="n">
        <v>8</v>
      </c>
      <c r="D7" s="11" t="n">
        <v>2</v>
      </c>
      <c r="E7" s="11" t="n">
        <v>2</v>
      </c>
      <c r="F7" s="11" t="n">
        <v>2</v>
      </c>
      <c r="G7" s="11" t="n">
        <v>5</v>
      </c>
      <c r="H7" s="11" t="n">
        <v>3</v>
      </c>
      <c r="I7" s="11" t="n">
        <v>3</v>
      </c>
      <c r="J7" s="11" t="n">
        <v>5</v>
      </c>
      <c r="K7" s="11" t="n">
        <v>3</v>
      </c>
      <c r="L7" s="11" t="n">
        <v>2</v>
      </c>
      <c r="M7" s="11" t="n">
        <v>4</v>
      </c>
    </row>
    <row r="8">
      <c r="A8" s="10" t="inlineStr">
        <is>
          <t>forager</t>
        </is>
      </c>
      <c r="B8" s="11" t="n">
        <v>3</v>
      </c>
      <c r="C8" s="11" t="n">
        <v>2</v>
      </c>
      <c r="D8" s="11" t="n">
        <v>8</v>
      </c>
      <c r="E8" s="11" t="n">
        <v>7</v>
      </c>
      <c r="F8" s="11" t="n">
        <v>6</v>
      </c>
      <c r="G8" s="11" t="n">
        <v>3</v>
      </c>
      <c r="H8" s="11" t="n">
        <v>6</v>
      </c>
      <c r="I8" s="11" t="n">
        <v>6</v>
      </c>
      <c r="J8" s="11" t="n">
        <v>3</v>
      </c>
      <c r="K8" s="11" t="n">
        <v>2</v>
      </c>
      <c r="L8" s="11" t="n">
        <v>3</v>
      </c>
      <c r="M8" s="11" t="n">
        <v>3</v>
      </c>
    </row>
    <row r="9">
      <c r="A9" s="10" t="inlineStr">
        <is>
          <t>scholar</t>
        </is>
      </c>
      <c r="B9" s="11" t="n">
        <v>2</v>
      </c>
      <c r="C9" s="11" t="n">
        <v>3</v>
      </c>
      <c r="D9" s="11" t="n">
        <v>4</v>
      </c>
      <c r="E9" s="11" t="n">
        <v>3</v>
      </c>
      <c r="F9" s="11" t="n">
        <v>3</v>
      </c>
      <c r="G9" s="11" t="n">
        <v>5</v>
      </c>
      <c r="H9" s="11" t="n">
        <v>4</v>
      </c>
      <c r="I9" s="11" t="n">
        <v>5</v>
      </c>
      <c r="J9" s="11" t="n">
        <v>5</v>
      </c>
      <c r="K9" s="11" t="n">
        <v>8</v>
      </c>
      <c r="L9" s="11" t="n">
        <v>6</v>
      </c>
      <c r="M9" s="11" t="n">
        <v>4</v>
      </c>
    </row>
    <row r="10">
      <c r="A10" s="10" t="inlineStr">
        <is>
          <t>versatile</t>
        </is>
      </c>
      <c r="B10" s="11" t="n">
        <v>5</v>
      </c>
      <c r="C10" s="11" t="n">
        <v>5</v>
      </c>
      <c r="D10" s="11" t="n">
        <v>5</v>
      </c>
      <c r="E10" s="11" t="n">
        <v>5</v>
      </c>
      <c r="F10" s="11" t="n">
        <v>5</v>
      </c>
      <c r="G10" s="11" t="n">
        <v>5</v>
      </c>
      <c r="H10" s="11" t="n">
        <v>5</v>
      </c>
      <c r="I10" s="11" t="n">
        <v>5</v>
      </c>
      <c r="J10" s="11" t="n">
        <v>5</v>
      </c>
      <c r="K10" s="11" t="n">
        <v>5</v>
      </c>
      <c r="L10" s="11" t="n">
        <v>5</v>
      </c>
      <c r="M10" s="11" t="n">
        <v>5</v>
      </c>
    </row>
    <row r="13">
      <c r="A13" s="3" t="inlineStr">
        <is>
          <t>Governing attribute per skill — one each, never two (COMBAT_SPEC section 2.2)</t>
        </is>
      </c>
    </row>
    <row r="14">
      <c r="A14" s="2" t="inlineStr">
        <is>
          <t>governed by</t>
        </is>
      </c>
      <c r="B14" s="14" t="inlineStr">
        <is>
          <t>Strength</t>
        </is>
      </c>
      <c r="C14" s="14" t="inlineStr">
        <is>
          <t>Strength</t>
        </is>
      </c>
      <c r="D14" s="14" t="inlineStr">
        <is>
          <t>Perception</t>
        </is>
      </c>
      <c r="E14" s="14" t="inlineStr">
        <is>
          <t>Dexterity</t>
        </is>
      </c>
      <c r="F14" s="14" t="inlineStr">
        <is>
          <t>Dexterity</t>
        </is>
      </c>
      <c r="G14" s="14" t="inlineStr">
        <is>
          <t>Dexterity</t>
        </is>
      </c>
      <c r="H14" s="14" t="inlineStr">
        <is>
          <t>Guile</t>
        </is>
      </c>
      <c r="I14" s="14" t="inlineStr">
        <is>
          <t>Perception</t>
        </is>
      </c>
      <c r="J14" s="14" t="inlineStr">
        <is>
          <t>Guile</t>
        </is>
      </c>
      <c r="K14" s="14" t="inlineStr">
        <is>
          <t>Intelligence</t>
        </is>
      </c>
      <c r="L14" s="14" t="inlineStr">
        <is>
          <t>Intelligence</t>
        </is>
      </c>
      <c r="M14" s="14" t="inlineStr">
        <is>
          <t>Tact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Baseline skills = template value, unless overridden</t>
        </is>
      </c>
    </row>
    <row r="2">
      <c r="A2" s="2" t="inlineStr">
        <is>
          <t>Shaded cells are per-race overrides — the only hand-authored numbers here. Unshaded cells are live links to the template sheet, so editing a template moves every race using it.</t>
        </is>
      </c>
    </row>
    <row r="4">
      <c r="A4" s="5" t="inlineStr">
        <is>
          <t>Race</t>
        </is>
      </c>
      <c r="B4" s="5" t="inlineStr">
        <is>
          <t>Template</t>
        </is>
      </c>
      <c r="C4" s="5" t="inlineStr">
        <is>
          <t>Woodcutting</t>
        </is>
      </c>
      <c r="D4" s="5" t="inlineStr">
        <is>
          <t>Mining</t>
        </is>
      </c>
      <c r="E4" s="5" t="inlineStr">
        <is>
          <t>Foraging</t>
        </is>
      </c>
      <c r="F4" s="5" t="inlineStr">
        <is>
          <t>Hunting</t>
        </is>
      </c>
      <c r="G4" s="5" t="inlineStr">
        <is>
          <t>Fishing</t>
        </is>
      </c>
      <c r="H4" s="5" t="inlineStr">
        <is>
          <t>Crafting</t>
        </is>
      </c>
      <c r="I4" s="5" t="inlineStr">
        <is>
          <t>Trapper</t>
        </is>
      </c>
      <c r="J4" s="5" t="inlineStr">
        <is>
          <t>Scouting</t>
        </is>
      </c>
      <c r="K4" s="5" t="inlineStr">
        <is>
          <t>Mercantile</t>
        </is>
      </c>
      <c r="L4" s="5" t="inlineStr">
        <is>
          <t>Research</t>
        </is>
      </c>
      <c r="M4" s="5" t="inlineStr">
        <is>
          <t>Surgeon</t>
        </is>
      </c>
      <c r="N4" s="5" t="inlineStr">
        <is>
          <t>Leadership</t>
        </is>
      </c>
    </row>
    <row r="5">
      <c r="A5" s="10" t="inlineStr">
        <is>
          <t>Human Peasant (ref)</t>
        </is>
      </c>
      <c r="B5" s="10" t="inlineStr">
        <is>
          <t>versatile</t>
        </is>
      </c>
      <c r="C5" s="15">
        <f>'Skill templates'!B10</f>
        <v/>
      </c>
      <c r="D5" s="15">
        <f>'Skill templates'!C10</f>
        <v/>
      </c>
      <c r="E5" s="15">
        <f>'Skill templates'!D10</f>
        <v/>
      </c>
      <c r="F5" s="15">
        <f>'Skill templates'!E10</f>
        <v/>
      </c>
      <c r="G5" s="15">
        <f>'Skill templates'!F10</f>
        <v/>
      </c>
      <c r="H5" s="15">
        <f>'Skill templates'!G10</f>
        <v/>
      </c>
      <c r="I5" s="15">
        <f>'Skill templates'!H10</f>
        <v/>
      </c>
      <c r="J5" s="15">
        <f>'Skill templates'!I10</f>
        <v/>
      </c>
      <c r="K5" s="15">
        <f>'Skill templates'!J10</f>
        <v/>
      </c>
      <c r="L5" s="15">
        <f>'Skill templates'!K10</f>
        <v/>
      </c>
      <c r="M5" s="15">
        <f>'Skill templates'!L10</f>
        <v/>
      </c>
      <c r="N5" s="15">
        <f>'Skill templates'!M10</f>
        <v/>
      </c>
    </row>
    <row r="6">
      <c r="A6" s="10" t="inlineStr">
        <is>
          <t>Skeleton Worker</t>
        </is>
      </c>
      <c r="B6" s="10" t="inlineStr">
        <is>
          <t>labor</t>
        </is>
      </c>
      <c r="C6" s="15">
        <f>'Skill templates'!B5</f>
        <v/>
      </c>
      <c r="D6" s="15">
        <f>'Skill templates'!C5</f>
        <v/>
      </c>
      <c r="E6" s="15">
        <f>'Skill templates'!D5</f>
        <v/>
      </c>
      <c r="F6" s="15">
        <f>'Skill templates'!E5</f>
        <v/>
      </c>
      <c r="G6" s="15">
        <f>'Skill templates'!F5</f>
        <v/>
      </c>
      <c r="H6" s="15">
        <f>'Skill templates'!G5</f>
        <v/>
      </c>
      <c r="I6" s="15">
        <f>'Skill templates'!H5</f>
        <v/>
      </c>
      <c r="J6" s="15">
        <f>'Skill templates'!I5</f>
        <v/>
      </c>
      <c r="K6" s="15">
        <f>'Skill templates'!J5</f>
        <v/>
      </c>
      <c r="L6" s="15">
        <f>'Skill templates'!K5</f>
        <v/>
      </c>
      <c r="M6" s="15">
        <f>'Skill templates'!L5</f>
        <v/>
      </c>
      <c r="N6" s="15">
        <f>'Skill templates'!M5</f>
        <v/>
      </c>
    </row>
    <row r="7">
      <c r="A7" s="10" t="inlineStr">
        <is>
          <t>Orc</t>
        </is>
      </c>
      <c r="B7" s="10" t="inlineStr">
        <is>
          <t>warrior</t>
        </is>
      </c>
      <c r="C7" s="15">
        <f>'Skill templates'!B6</f>
        <v/>
      </c>
      <c r="D7" s="15">
        <f>'Skill templates'!C6</f>
        <v/>
      </c>
      <c r="E7" s="16" t="n">
        <v>4</v>
      </c>
      <c r="F7" s="15">
        <f>'Skill templates'!E6</f>
        <v/>
      </c>
      <c r="G7" s="15">
        <f>'Skill templates'!F6</f>
        <v/>
      </c>
      <c r="H7" s="15">
        <f>'Skill templates'!G6</f>
        <v/>
      </c>
      <c r="I7" s="15">
        <f>'Skill templates'!H6</f>
        <v/>
      </c>
      <c r="J7" s="15">
        <f>'Skill templates'!I6</f>
        <v/>
      </c>
      <c r="K7" s="15">
        <f>'Skill templates'!J6</f>
        <v/>
      </c>
      <c r="L7" s="15">
        <f>'Skill templates'!K6</f>
        <v/>
      </c>
      <c r="M7" s="15">
        <f>'Skill templates'!L6</f>
        <v/>
      </c>
      <c r="N7" s="15">
        <f>'Skill templates'!M6</f>
        <v/>
      </c>
    </row>
    <row r="8">
      <c r="A8" s="10" t="inlineStr">
        <is>
          <t>Hobgoblin</t>
        </is>
      </c>
      <c r="B8" s="10" t="inlineStr">
        <is>
          <t>warrior</t>
        </is>
      </c>
      <c r="C8" s="15">
        <f>'Skill templates'!B6</f>
        <v/>
      </c>
      <c r="D8" s="15">
        <f>'Skill templates'!C6</f>
        <v/>
      </c>
      <c r="E8" s="15">
        <f>'Skill templates'!D6</f>
        <v/>
      </c>
      <c r="F8" s="15">
        <f>'Skill templates'!E6</f>
        <v/>
      </c>
      <c r="G8" s="15">
        <f>'Skill templates'!F6</f>
        <v/>
      </c>
      <c r="H8" s="16" t="n">
        <v>4</v>
      </c>
      <c r="I8" s="15">
        <f>'Skill templates'!H6</f>
        <v/>
      </c>
      <c r="J8" s="15">
        <f>'Skill templates'!I6</f>
        <v/>
      </c>
      <c r="K8" s="15">
        <f>'Skill templates'!J6</f>
        <v/>
      </c>
      <c r="L8" s="15">
        <f>'Skill templates'!K6</f>
        <v/>
      </c>
      <c r="M8" s="15">
        <f>'Skill templates'!L6</f>
        <v/>
      </c>
      <c r="N8" s="16" t="n">
        <v>7</v>
      </c>
    </row>
    <row r="9">
      <c r="A9" s="10" t="inlineStr">
        <is>
          <t>Ogre</t>
        </is>
      </c>
      <c r="B9" s="10" t="inlineStr">
        <is>
          <t>warrior</t>
        </is>
      </c>
      <c r="C9" s="16" t="n">
        <v>6</v>
      </c>
      <c r="D9" s="16" t="n">
        <v>6</v>
      </c>
      <c r="E9" s="15">
        <f>'Skill templates'!D6</f>
        <v/>
      </c>
      <c r="F9" s="15">
        <f>'Skill templates'!E6</f>
        <v/>
      </c>
      <c r="G9" s="15">
        <f>'Skill templates'!F6</f>
        <v/>
      </c>
      <c r="H9" s="15">
        <f>'Skill templates'!G6</f>
        <v/>
      </c>
      <c r="I9" s="15">
        <f>'Skill templates'!H6</f>
        <v/>
      </c>
      <c r="J9" s="15">
        <f>'Skill templates'!I6</f>
        <v/>
      </c>
      <c r="K9" s="15">
        <f>'Skill templates'!J6</f>
        <v/>
      </c>
      <c r="L9" s="15">
        <f>'Skill templates'!K6</f>
        <v/>
      </c>
      <c r="M9" s="15">
        <f>'Skill templates'!L6</f>
        <v/>
      </c>
      <c r="N9" s="16" t="n">
        <v>1</v>
      </c>
    </row>
    <row r="10">
      <c r="A10" s="10" t="inlineStr">
        <is>
          <t>Troll</t>
        </is>
      </c>
      <c r="B10" s="10" t="inlineStr">
        <is>
          <t>warrior</t>
        </is>
      </c>
      <c r="C10" s="15">
        <f>'Skill templates'!B6</f>
        <v/>
      </c>
      <c r="D10" s="15">
        <f>'Skill templates'!C6</f>
        <v/>
      </c>
      <c r="E10" s="16" t="n">
        <v>5</v>
      </c>
      <c r="F10" s="15">
        <f>'Skill templates'!E6</f>
        <v/>
      </c>
      <c r="G10" s="15">
        <f>'Skill templates'!F6</f>
        <v/>
      </c>
      <c r="H10" s="15">
        <f>'Skill templates'!G6</f>
        <v/>
      </c>
      <c r="I10" s="15">
        <f>'Skill templates'!H6</f>
        <v/>
      </c>
      <c r="J10" s="15">
        <f>'Skill templates'!I6</f>
        <v/>
      </c>
      <c r="K10" s="15">
        <f>'Skill templates'!J6</f>
        <v/>
      </c>
      <c r="L10" s="15">
        <f>'Skill templates'!K6</f>
        <v/>
      </c>
      <c r="M10" s="16" t="n">
        <v>1</v>
      </c>
      <c r="N10" s="16" t="n">
        <v>1</v>
      </c>
    </row>
    <row r="11">
      <c r="A11" s="10" t="inlineStr">
        <is>
          <t>Gray Dwarf</t>
        </is>
      </c>
      <c r="B11" s="10" t="inlineStr">
        <is>
          <t>miner</t>
        </is>
      </c>
      <c r="C11" s="15">
        <f>'Skill templates'!B7</f>
        <v/>
      </c>
      <c r="D11" s="16" t="n">
        <v>9</v>
      </c>
      <c r="E11" s="15">
        <f>'Skill templates'!D7</f>
        <v/>
      </c>
      <c r="F11" s="15">
        <f>'Skill templates'!E7</f>
        <v/>
      </c>
      <c r="G11" s="15">
        <f>'Skill templates'!F7</f>
        <v/>
      </c>
      <c r="H11" s="16" t="n">
        <v>7</v>
      </c>
      <c r="I11" s="15">
        <f>'Skill templates'!H7</f>
        <v/>
      </c>
      <c r="J11" s="15">
        <f>'Skill templates'!I7</f>
        <v/>
      </c>
      <c r="K11" s="15">
        <f>'Skill templates'!J7</f>
        <v/>
      </c>
      <c r="L11" s="15">
        <f>'Skill templates'!K7</f>
        <v/>
      </c>
      <c r="M11" s="15">
        <f>'Skill templates'!L7</f>
        <v/>
      </c>
      <c r="N11" s="15">
        <f>'Skill templates'!M7</f>
        <v/>
      </c>
    </row>
    <row r="12">
      <c r="A12" s="10" t="inlineStr">
        <is>
          <t>Kobold</t>
        </is>
      </c>
      <c r="B12" s="10" t="inlineStr">
        <is>
          <t>miner</t>
        </is>
      </c>
      <c r="C12" s="15">
        <f>'Skill templates'!B7</f>
        <v/>
      </c>
      <c r="D12" s="16" t="n">
        <v>6</v>
      </c>
      <c r="E12" s="15">
        <f>'Skill templates'!D7</f>
        <v/>
      </c>
      <c r="F12" s="15">
        <f>'Skill templates'!E7</f>
        <v/>
      </c>
      <c r="G12" s="15">
        <f>'Skill templates'!F7</f>
        <v/>
      </c>
      <c r="H12" s="16" t="n">
        <v>4</v>
      </c>
      <c r="I12" s="16" t="n">
        <v>7</v>
      </c>
      <c r="J12" s="15">
        <f>'Skill templates'!I7</f>
        <v/>
      </c>
      <c r="K12" s="16" t="n">
        <v>3</v>
      </c>
      <c r="L12" s="15">
        <f>'Skill templates'!K7</f>
        <v/>
      </c>
      <c r="M12" s="15">
        <f>'Skill templates'!L7</f>
        <v/>
      </c>
      <c r="N12" s="15">
        <f>'Skill templates'!M7</f>
        <v/>
      </c>
    </row>
    <row r="13">
      <c r="A13" s="10" t="inlineStr">
        <is>
          <t>Minotaur</t>
        </is>
      </c>
      <c r="B13" s="10" t="inlineStr">
        <is>
          <t>miner</t>
        </is>
      </c>
      <c r="C13" s="16" t="n">
        <v>7</v>
      </c>
      <c r="D13" s="16" t="n">
        <v>7</v>
      </c>
      <c r="E13" s="15">
        <f>'Skill templates'!D7</f>
        <v/>
      </c>
      <c r="F13" s="15">
        <f>'Skill templates'!E7</f>
        <v/>
      </c>
      <c r="G13" s="15">
        <f>'Skill templates'!F7</f>
        <v/>
      </c>
      <c r="H13" s="15">
        <f>'Skill templates'!G7</f>
        <v/>
      </c>
      <c r="I13" s="15">
        <f>'Skill templates'!H7</f>
        <v/>
      </c>
      <c r="J13" s="15">
        <f>'Skill templates'!I7</f>
        <v/>
      </c>
      <c r="K13" s="16" t="n">
        <v>6</v>
      </c>
      <c r="L13" s="15">
        <f>'Skill templates'!K7</f>
        <v/>
      </c>
      <c r="M13" s="15">
        <f>'Skill templates'!L7</f>
        <v/>
      </c>
      <c r="N13" s="15">
        <f>'Skill templates'!M7</f>
        <v/>
      </c>
    </row>
    <row r="14">
      <c r="A14" s="10" t="inlineStr">
        <is>
          <t>Mountain Dwarf</t>
        </is>
      </c>
      <c r="B14" s="10" t="inlineStr">
        <is>
          <t>miner</t>
        </is>
      </c>
      <c r="C14" s="15">
        <f>'Skill templates'!B7</f>
        <v/>
      </c>
      <c r="D14" s="15">
        <f>'Skill templates'!C7</f>
        <v/>
      </c>
      <c r="E14" s="15">
        <f>'Skill templates'!D7</f>
        <v/>
      </c>
      <c r="F14" s="15">
        <f>'Skill templates'!E7</f>
        <v/>
      </c>
      <c r="G14" s="15">
        <f>'Skill templates'!F7</f>
        <v/>
      </c>
      <c r="H14" s="16" t="n">
        <v>7</v>
      </c>
      <c r="I14" s="15">
        <f>'Skill templates'!H7</f>
        <v/>
      </c>
      <c r="J14" s="15">
        <f>'Skill templates'!I7</f>
        <v/>
      </c>
      <c r="K14" s="15">
        <f>'Skill templates'!J7</f>
        <v/>
      </c>
      <c r="L14" s="15">
        <f>'Skill templates'!K7</f>
        <v/>
      </c>
      <c r="M14" s="15">
        <f>'Skill templates'!L7</f>
        <v/>
      </c>
      <c r="N14" s="16" t="n">
        <v>5</v>
      </c>
    </row>
    <row r="15">
      <c r="A15" s="10" t="inlineStr">
        <is>
          <t>Gnome</t>
        </is>
      </c>
      <c r="B15" s="10" t="inlineStr">
        <is>
          <t>scholar</t>
        </is>
      </c>
      <c r="C15" s="15">
        <f>'Skill templates'!B9</f>
        <v/>
      </c>
      <c r="D15" s="15">
        <f>'Skill templates'!C9</f>
        <v/>
      </c>
      <c r="E15" s="15">
        <f>'Skill templates'!D9</f>
        <v/>
      </c>
      <c r="F15" s="15">
        <f>'Skill templates'!E9</f>
        <v/>
      </c>
      <c r="G15" s="15">
        <f>'Skill templates'!F9</f>
        <v/>
      </c>
      <c r="H15" s="16" t="n">
        <v>6</v>
      </c>
      <c r="I15" s="16" t="n">
        <v>5</v>
      </c>
      <c r="J15" s="15">
        <f>'Skill templates'!I9</f>
        <v/>
      </c>
      <c r="K15" s="15">
        <f>'Skill templates'!J9</f>
        <v/>
      </c>
      <c r="L15" s="15">
        <f>'Skill templates'!K9</f>
        <v/>
      </c>
      <c r="M15" s="15">
        <f>'Skill templates'!L9</f>
        <v/>
      </c>
      <c r="N15" s="15">
        <f>'Skill templates'!M9</f>
        <v/>
      </c>
    </row>
    <row r="16">
      <c r="A16" s="10" t="inlineStr">
        <is>
          <t>Dark Elf</t>
        </is>
      </c>
      <c r="B16" s="10" t="inlineStr">
        <is>
          <t>scholar</t>
        </is>
      </c>
      <c r="C16" s="15">
        <f>'Skill templates'!B9</f>
        <v/>
      </c>
      <c r="D16" s="15">
        <f>'Skill templates'!C9</f>
        <v/>
      </c>
      <c r="E16" s="15">
        <f>'Skill templates'!D9</f>
        <v/>
      </c>
      <c r="F16" s="15">
        <f>'Skill templates'!E9</f>
        <v/>
      </c>
      <c r="G16" s="15">
        <f>'Skill templates'!F9</f>
        <v/>
      </c>
      <c r="H16" s="15">
        <f>'Skill templates'!G9</f>
        <v/>
      </c>
      <c r="I16" s="16" t="n">
        <v>6</v>
      </c>
      <c r="J16" s="16" t="n">
        <v>7</v>
      </c>
      <c r="K16" s="15">
        <f>'Skill templates'!J9</f>
        <v/>
      </c>
      <c r="L16" s="16" t="n">
        <v>7</v>
      </c>
      <c r="M16" s="15">
        <f>'Skill templates'!L9</f>
        <v/>
      </c>
      <c r="N16" s="15">
        <f>'Skill templates'!M9</f>
        <v/>
      </c>
    </row>
    <row r="17">
      <c r="A17" s="10" t="inlineStr">
        <is>
          <t>High Elf</t>
        </is>
      </c>
      <c r="B17" s="10" t="inlineStr">
        <is>
          <t>scholar</t>
        </is>
      </c>
      <c r="C17" s="15">
        <f>'Skill templates'!B9</f>
        <v/>
      </c>
      <c r="D17" s="15">
        <f>'Skill templates'!C9</f>
        <v/>
      </c>
      <c r="E17" s="16" t="n">
        <v>6</v>
      </c>
      <c r="F17" s="15">
        <f>'Skill templates'!E9</f>
        <v/>
      </c>
      <c r="G17" s="15">
        <f>'Skill templates'!F9</f>
        <v/>
      </c>
      <c r="H17" s="15">
        <f>'Skill templates'!G9</f>
        <v/>
      </c>
      <c r="I17" s="15">
        <f>'Skill templates'!H9</f>
        <v/>
      </c>
      <c r="J17" s="15">
        <f>'Skill templates'!I9</f>
        <v/>
      </c>
      <c r="K17" s="15">
        <f>'Skill templates'!J9</f>
        <v/>
      </c>
      <c r="L17" s="15">
        <f>'Skill templates'!K9</f>
        <v/>
      </c>
      <c r="M17" s="16" t="n">
        <v>7</v>
      </c>
      <c r="N17" s="15">
        <f>'Skill templates'!M9</f>
        <v/>
      </c>
    </row>
    <row r="18">
      <c r="A18" s="10" t="inlineStr">
        <is>
          <t>Goblin</t>
        </is>
      </c>
      <c r="B18" s="10" t="inlineStr">
        <is>
          <t>forager</t>
        </is>
      </c>
      <c r="C18" s="15">
        <f>'Skill templates'!B8</f>
        <v/>
      </c>
      <c r="D18" s="15">
        <f>'Skill templates'!C8</f>
        <v/>
      </c>
      <c r="E18" s="15">
        <f>'Skill templates'!D8</f>
        <v/>
      </c>
      <c r="F18" s="15">
        <f>'Skill templates'!E8</f>
        <v/>
      </c>
      <c r="G18" s="15">
        <f>'Skill templates'!F8</f>
        <v/>
      </c>
      <c r="H18" s="15">
        <f>'Skill templates'!G8</f>
        <v/>
      </c>
      <c r="I18" s="16" t="n">
        <v>6</v>
      </c>
      <c r="J18" s="15">
        <f>'Skill templates'!I8</f>
        <v/>
      </c>
      <c r="K18" s="16" t="n">
        <v>4</v>
      </c>
      <c r="L18" s="15">
        <f>'Skill templates'!K8</f>
        <v/>
      </c>
      <c r="M18" s="15">
        <f>'Skill templates'!L8</f>
        <v/>
      </c>
      <c r="N18" s="15">
        <f>'Skill templates'!M8</f>
        <v/>
      </c>
    </row>
    <row r="19">
      <c r="A19" s="10" t="inlineStr">
        <is>
          <t>Gnoll</t>
        </is>
      </c>
      <c r="B19" s="10" t="inlineStr">
        <is>
          <t>forager</t>
        </is>
      </c>
      <c r="C19" s="15">
        <f>'Skill templates'!B8</f>
        <v/>
      </c>
      <c r="D19" s="15">
        <f>'Skill templates'!C8</f>
        <v/>
      </c>
      <c r="E19" s="16" t="n">
        <v>9</v>
      </c>
      <c r="F19" s="16" t="n">
        <v>8</v>
      </c>
      <c r="G19" s="15">
        <f>'Skill templates'!F8</f>
        <v/>
      </c>
      <c r="H19" s="15">
        <f>'Skill templates'!G8</f>
        <v/>
      </c>
      <c r="I19" s="15">
        <f>'Skill templates'!H8</f>
        <v/>
      </c>
      <c r="J19" s="15">
        <f>'Skill templates'!I8</f>
        <v/>
      </c>
      <c r="K19" s="15">
        <f>'Skill templates'!J8</f>
        <v/>
      </c>
      <c r="L19" s="15">
        <f>'Skill templates'!K8</f>
        <v/>
      </c>
      <c r="M19" s="15">
        <f>'Skill templates'!L8</f>
        <v/>
      </c>
      <c r="N19" s="16" t="n">
        <v>2</v>
      </c>
    </row>
    <row r="20">
      <c r="A20" s="10" t="inlineStr">
        <is>
          <t>Halfling</t>
        </is>
      </c>
      <c r="B20" s="10" t="inlineStr">
        <is>
          <t>forager</t>
        </is>
      </c>
      <c r="C20" s="15">
        <f>'Skill templates'!B8</f>
        <v/>
      </c>
      <c r="D20" s="15">
        <f>'Skill templates'!C8</f>
        <v/>
      </c>
      <c r="E20" s="15">
        <f>'Skill templates'!D8</f>
        <v/>
      </c>
      <c r="F20" s="15">
        <f>'Skill templates'!E8</f>
        <v/>
      </c>
      <c r="G20" s="16" t="n">
        <v>7</v>
      </c>
      <c r="H20" s="15">
        <f>'Skill templates'!G8</f>
        <v/>
      </c>
      <c r="I20" s="15">
        <f>'Skill templates'!H8</f>
        <v/>
      </c>
      <c r="J20" s="15">
        <f>'Skill templates'!I8</f>
        <v/>
      </c>
      <c r="K20" s="16" t="n">
        <v>5</v>
      </c>
      <c r="L20" s="15">
        <f>'Skill templates'!K8</f>
        <v/>
      </c>
      <c r="M20" s="16" t="n">
        <v>5</v>
      </c>
      <c r="N20" s="15">
        <f>'Skill templates'!M8</f>
        <v/>
      </c>
    </row>
    <row r="21">
      <c r="A21" s="10" t="inlineStr">
        <is>
          <t>Human Outcast</t>
        </is>
      </c>
      <c r="B21" s="10" t="inlineStr">
        <is>
          <t>versatile</t>
        </is>
      </c>
      <c r="C21" s="15">
        <f>'Skill templates'!B10</f>
        <v/>
      </c>
      <c r="D21" s="15">
        <f>'Skill templates'!C10</f>
        <v/>
      </c>
      <c r="E21" s="15">
        <f>'Skill templates'!D10</f>
        <v/>
      </c>
      <c r="F21" s="15">
        <f>'Skill templates'!E10</f>
        <v/>
      </c>
      <c r="G21" s="15">
        <f>'Skill templates'!F10</f>
        <v/>
      </c>
      <c r="H21" s="15">
        <f>'Skill templates'!G10</f>
        <v/>
      </c>
      <c r="I21" s="15">
        <f>'Skill templates'!H10</f>
        <v/>
      </c>
      <c r="J21" s="15">
        <f>'Skill templates'!I10</f>
        <v/>
      </c>
      <c r="K21" s="15">
        <f>'Skill templates'!J10</f>
        <v/>
      </c>
      <c r="L21" s="15">
        <f>'Skill templates'!K10</f>
        <v/>
      </c>
      <c r="M21" s="15">
        <f>'Skill templates'!L10</f>
        <v/>
      </c>
      <c r="N21" s="15">
        <f>'Skill templates'!M10</f>
        <v/>
      </c>
    </row>
    <row r="24">
      <c r="A24" s="2" t="inlineStr">
        <is>
          <t>35 overrides across 17 races — everything else comes from six templates.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Effective skill = baseline + FLOOR((governing attribute - 5) / 2)</t>
        </is>
      </c>
    </row>
    <row r="2">
      <c r="A2" s="2" t="inlineStr">
        <is>
          <t>This is the number the game actually uses. Nothing here is hand-authored — change an attribute or a template and this sheet moves. The divisor is the main balance knob: /2 gives a -2..+2 swing, /3 narrows it to -1..+1.</t>
        </is>
      </c>
    </row>
    <row r="3">
      <c r="A3" s="3" t="inlineStr">
        <is>
          <t>Divisor</t>
        </is>
      </c>
      <c r="B3" s="4" t="n">
        <v>2</v>
      </c>
      <c r="C3" s="2" t="inlineStr">
        <is>
          <t>&lt;- edit this to compare /2 against /3</t>
        </is>
      </c>
    </row>
    <row r="5">
      <c r="A5" s="5" t="inlineStr">
        <is>
          <t>Race</t>
        </is>
      </c>
      <c r="B5" s="5" t="inlineStr">
        <is>
          <t>Profile</t>
        </is>
      </c>
      <c r="C5" s="5" t="inlineStr">
        <is>
          <t>Woodcutting</t>
        </is>
      </c>
      <c r="D5" s="5" t="inlineStr">
        <is>
          <t>Mining</t>
        </is>
      </c>
      <c r="E5" s="5" t="inlineStr">
        <is>
          <t>Foraging</t>
        </is>
      </c>
      <c r="F5" s="5" t="inlineStr">
        <is>
          <t>Hunting</t>
        </is>
      </c>
      <c r="G5" s="5" t="inlineStr">
        <is>
          <t>Fishing</t>
        </is>
      </c>
      <c r="H5" s="5" t="inlineStr">
        <is>
          <t>Crafting</t>
        </is>
      </c>
      <c r="I5" s="5" t="inlineStr">
        <is>
          <t>Trapper</t>
        </is>
      </c>
      <c r="J5" s="5" t="inlineStr">
        <is>
          <t>Scouting</t>
        </is>
      </c>
      <c r="K5" s="5" t="inlineStr">
        <is>
          <t>Mercantile</t>
        </is>
      </c>
      <c r="L5" s="5" t="inlineStr">
        <is>
          <t>Research</t>
        </is>
      </c>
      <c r="M5" s="5" t="inlineStr">
        <is>
          <t>Surgeon</t>
        </is>
      </c>
      <c r="N5" s="5" t="inlineStr">
        <is>
          <t>Leadership</t>
        </is>
      </c>
    </row>
    <row r="6">
      <c r="A6" s="17">
        <f>Attributes!A5</f>
        <v/>
      </c>
      <c r="B6" s="15">
        <f>Attributes!P5</f>
        <v/>
      </c>
      <c r="C6" s="12">
        <f>MAX(1,MIN(10,'Race skills'!C5+FLOOR((Attributes!E5-5)/$B$3,1)))</f>
        <v/>
      </c>
      <c r="D6" s="12">
        <f>MAX(1,MIN(10,'Race skills'!D5+FLOOR((Attributes!E5-5)/$B$3,1)))</f>
        <v/>
      </c>
      <c r="E6" s="12">
        <f>MAX(1,MIN(10,'Race skills'!E5+FLOOR((Attributes!K5-5)/$B$3,1)))</f>
        <v/>
      </c>
      <c r="F6" s="12">
        <f>MAX(1,MIN(10,'Race skills'!F5+FLOOR((Attributes!F5-5)/$B$3,1)))</f>
        <v/>
      </c>
      <c r="G6" s="12">
        <f>MAX(1,MIN(10,'Race skills'!G5+FLOOR((Attributes!F5-5)/$B$3,1)))</f>
        <v/>
      </c>
      <c r="H6" s="12">
        <f>MAX(1,MIN(10,'Race skills'!H5+FLOOR((Attributes!F5-5)/$B$3,1)))</f>
        <v/>
      </c>
      <c r="I6" s="12">
        <f>MAX(1,MIN(10,'Race skills'!I5+FLOOR((Attributes!J5-5)/$B$3,1)))</f>
        <v/>
      </c>
      <c r="J6" s="12">
        <f>MAX(1,MIN(10,'Race skills'!J5+FLOOR((Attributes!K5-5)/$B$3,1)))</f>
        <v/>
      </c>
      <c r="K6" s="12">
        <f>MAX(1,MIN(10,'Race skills'!K5+FLOOR((Attributes!J5-5)/$B$3,1)))</f>
        <v/>
      </c>
      <c r="L6" s="12">
        <f>MAX(1,MIN(10,'Race skills'!L5+FLOOR((Attributes!I5-5)/$B$3,1)))</f>
        <v/>
      </c>
      <c r="M6" s="12">
        <f>MAX(1,MIN(10,'Race skills'!M5+FLOOR((Attributes!I5-5)/$B$3,1)))</f>
        <v/>
      </c>
      <c r="N6" s="12">
        <f>MAX(1,MIN(10,'Race skills'!N5+FLOOR((Attributes!L5-5)/$B$3,1)))</f>
        <v/>
      </c>
    </row>
    <row r="7">
      <c r="A7" s="17">
        <f>Attributes!A6</f>
        <v/>
      </c>
      <c r="B7" s="15">
        <f>Attributes!P6</f>
        <v/>
      </c>
      <c r="C7" s="12">
        <f>MAX(1,MIN(10,'Race skills'!C6+FLOOR((Attributes!E6-5)/$B$3,1)))</f>
        <v/>
      </c>
      <c r="D7" s="12">
        <f>MAX(1,MIN(10,'Race skills'!D6+FLOOR((Attributes!E6-5)/$B$3,1)))</f>
        <v/>
      </c>
      <c r="E7" s="12">
        <f>MAX(1,MIN(10,'Race skills'!E6+FLOOR((Attributes!K6-5)/$B$3,1)))</f>
        <v/>
      </c>
      <c r="F7" s="12">
        <f>MAX(1,MIN(10,'Race skills'!F6+FLOOR((Attributes!F6-5)/$B$3,1)))</f>
        <v/>
      </c>
      <c r="G7" s="12">
        <f>MAX(1,MIN(10,'Race skills'!G6+FLOOR((Attributes!F6-5)/$B$3,1)))</f>
        <v/>
      </c>
      <c r="H7" s="12">
        <f>MAX(1,MIN(10,'Race skills'!H6+FLOOR((Attributes!F6-5)/$B$3,1)))</f>
        <v/>
      </c>
      <c r="I7" s="12">
        <f>MAX(1,MIN(10,'Race skills'!I6+FLOOR((Attributes!J6-5)/$B$3,1)))</f>
        <v/>
      </c>
      <c r="J7" s="12">
        <f>MAX(1,MIN(10,'Race skills'!J6+FLOOR((Attributes!K6-5)/$B$3,1)))</f>
        <v/>
      </c>
      <c r="K7" s="12">
        <f>MAX(1,MIN(10,'Race skills'!K6+FLOOR((Attributes!J6-5)/$B$3,1)))</f>
        <v/>
      </c>
      <c r="L7" s="12">
        <f>MAX(1,MIN(10,'Race skills'!L6+FLOOR((Attributes!I6-5)/$B$3,1)))</f>
        <v/>
      </c>
      <c r="M7" s="12">
        <f>MAX(1,MIN(10,'Race skills'!M6+FLOOR((Attributes!I6-5)/$B$3,1)))</f>
        <v/>
      </c>
      <c r="N7" s="12">
        <f>MAX(1,MIN(10,'Race skills'!N6+FLOOR((Attributes!L6-5)/$B$3,1)))</f>
        <v/>
      </c>
    </row>
    <row r="8">
      <c r="A8" s="17">
        <f>Attributes!A7</f>
        <v/>
      </c>
      <c r="B8" s="15">
        <f>Attributes!P7</f>
        <v/>
      </c>
      <c r="C8" s="12">
        <f>MAX(1,MIN(10,'Race skills'!C7+FLOOR((Attributes!E7-5)/$B$3,1)))</f>
        <v/>
      </c>
      <c r="D8" s="12">
        <f>MAX(1,MIN(10,'Race skills'!D7+FLOOR((Attributes!E7-5)/$B$3,1)))</f>
        <v/>
      </c>
      <c r="E8" s="12">
        <f>MAX(1,MIN(10,'Race skills'!E7+FLOOR((Attributes!K7-5)/$B$3,1)))</f>
        <v/>
      </c>
      <c r="F8" s="12">
        <f>MAX(1,MIN(10,'Race skills'!F7+FLOOR((Attributes!F7-5)/$B$3,1)))</f>
        <v/>
      </c>
      <c r="G8" s="12">
        <f>MAX(1,MIN(10,'Race skills'!G7+FLOOR((Attributes!F7-5)/$B$3,1)))</f>
        <v/>
      </c>
      <c r="H8" s="12">
        <f>MAX(1,MIN(10,'Race skills'!H7+FLOOR((Attributes!F7-5)/$B$3,1)))</f>
        <v/>
      </c>
      <c r="I8" s="12">
        <f>MAX(1,MIN(10,'Race skills'!I7+FLOOR((Attributes!J7-5)/$B$3,1)))</f>
        <v/>
      </c>
      <c r="J8" s="12">
        <f>MAX(1,MIN(10,'Race skills'!J7+FLOOR((Attributes!K7-5)/$B$3,1)))</f>
        <v/>
      </c>
      <c r="K8" s="12">
        <f>MAX(1,MIN(10,'Race skills'!K7+FLOOR((Attributes!J7-5)/$B$3,1)))</f>
        <v/>
      </c>
      <c r="L8" s="12">
        <f>MAX(1,MIN(10,'Race skills'!L7+FLOOR((Attributes!I7-5)/$B$3,1)))</f>
        <v/>
      </c>
      <c r="M8" s="12">
        <f>MAX(1,MIN(10,'Race skills'!M7+FLOOR((Attributes!I7-5)/$B$3,1)))</f>
        <v/>
      </c>
      <c r="N8" s="12">
        <f>MAX(1,MIN(10,'Race skills'!N7+FLOOR((Attributes!L7-5)/$B$3,1)))</f>
        <v/>
      </c>
    </row>
    <row r="9">
      <c r="A9" s="17">
        <f>Attributes!A8</f>
        <v/>
      </c>
      <c r="B9" s="15">
        <f>Attributes!P8</f>
        <v/>
      </c>
      <c r="C9" s="12">
        <f>MAX(1,MIN(10,'Race skills'!C8+FLOOR((Attributes!E8-5)/$B$3,1)))</f>
        <v/>
      </c>
      <c r="D9" s="12">
        <f>MAX(1,MIN(10,'Race skills'!D8+FLOOR((Attributes!E8-5)/$B$3,1)))</f>
        <v/>
      </c>
      <c r="E9" s="12">
        <f>MAX(1,MIN(10,'Race skills'!E8+FLOOR((Attributes!K8-5)/$B$3,1)))</f>
        <v/>
      </c>
      <c r="F9" s="12">
        <f>MAX(1,MIN(10,'Race skills'!F8+FLOOR((Attributes!F8-5)/$B$3,1)))</f>
        <v/>
      </c>
      <c r="G9" s="12">
        <f>MAX(1,MIN(10,'Race skills'!G8+FLOOR((Attributes!F8-5)/$B$3,1)))</f>
        <v/>
      </c>
      <c r="H9" s="12">
        <f>MAX(1,MIN(10,'Race skills'!H8+FLOOR((Attributes!F8-5)/$B$3,1)))</f>
        <v/>
      </c>
      <c r="I9" s="12">
        <f>MAX(1,MIN(10,'Race skills'!I8+FLOOR((Attributes!J8-5)/$B$3,1)))</f>
        <v/>
      </c>
      <c r="J9" s="12">
        <f>MAX(1,MIN(10,'Race skills'!J8+FLOOR((Attributes!K8-5)/$B$3,1)))</f>
        <v/>
      </c>
      <c r="K9" s="12">
        <f>MAX(1,MIN(10,'Race skills'!K8+FLOOR((Attributes!J8-5)/$B$3,1)))</f>
        <v/>
      </c>
      <c r="L9" s="12">
        <f>MAX(1,MIN(10,'Race skills'!L8+FLOOR((Attributes!I8-5)/$B$3,1)))</f>
        <v/>
      </c>
      <c r="M9" s="12">
        <f>MAX(1,MIN(10,'Race skills'!M8+FLOOR((Attributes!I8-5)/$B$3,1)))</f>
        <v/>
      </c>
      <c r="N9" s="12">
        <f>MAX(1,MIN(10,'Race skills'!N8+FLOOR((Attributes!L8-5)/$B$3,1)))</f>
        <v/>
      </c>
    </row>
    <row r="10">
      <c r="A10" s="17">
        <f>Attributes!A9</f>
        <v/>
      </c>
      <c r="B10" s="15">
        <f>Attributes!P9</f>
        <v/>
      </c>
      <c r="C10" s="12">
        <f>MAX(1,MIN(10,'Race skills'!C9+FLOOR((Attributes!E9-5)/$B$3,1)))</f>
        <v/>
      </c>
      <c r="D10" s="12">
        <f>MAX(1,MIN(10,'Race skills'!D9+FLOOR((Attributes!E9-5)/$B$3,1)))</f>
        <v/>
      </c>
      <c r="E10" s="12">
        <f>MAX(1,MIN(10,'Race skills'!E9+FLOOR((Attributes!K9-5)/$B$3,1)))</f>
        <v/>
      </c>
      <c r="F10" s="12">
        <f>MAX(1,MIN(10,'Race skills'!F9+FLOOR((Attributes!F9-5)/$B$3,1)))</f>
        <v/>
      </c>
      <c r="G10" s="12">
        <f>MAX(1,MIN(10,'Race skills'!G9+FLOOR((Attributes!F9-5)/$B$3,1)))</f>
        <v/>
      </c>
      <c r="H10" s="12">
        <f>MAX(1,MIN(10,'Race skills'!H9+FLOOR((Attributes!F9-5)/$B$3,1)))</f>
        <v/>
      </c>
      <c r="I10" s="12">
        <f>MAX(1,MIN(10,'Race skills'!I9+FLOOR((Attributes!J9-5)/$B$3,1)))</f>
        <v/>
      </c>
      <c r="J10" s="12">
        <f>MAX(1,MIN(10,'Race skills'!J9+FLOOR((Attributes!K9-5)/$B$3,1)))</f>
        <v/>
      </c>
      <c r="K10" s="12">
        <f>MAX(1,MIN(10,'Race skills'!K9+FLOOR((Attributes!J9-5)/$B$3,1)))</f>
        <v/>
      </c>
      <c r="L10" s="12">
        <f>MAX(1,MIN(10,'Race skills'!L9+FLOOR((Attributes!I9-5)/$B$3,1)))</f>
        <v/>
      </c>
      <c r="M10" s="12">
        <f>MAX(1,MIN(10,'Race skills'!M9+FLOOR((Attributes!I9-5)/$B$3,1)))</f>
        <v/>
      </c>
      <c r="N10" s="12">
        <f>MAX(1,MIN(10,'Race skills'!N9+FLOOR((Attributes!L9-5)/$B$3,1)))</f>
        <v/>
      </c>
    </row>
    <row r="11">
      <c r="A11" s="17">
        <f>Attributes!A10</f>
        <v/>
      </c>
      <c r="B11" s="15">
        <f>Attributes!P10</f>
        <v/>
      </c>
      <c r="C11" s="12">
        <f>MAX(1,MIN(10,'Race skills'!C10+FLOOR((Attributes!E10-5)/$B$3,1)))</f>
        <v/>
      </c>
      <c r="D11" s="12">
        <f>MAX(1,MIN(10,'Race skills'!D10+FLOOR((Attributes!E10-5)/$B$3,1)))</f>
        <v/>
      </c>
      <c r="E11" s="12">
        <f>MAX(1,MIN(10,'Race skills'!E10+FLOOR((Attributes!K10-5)/$B$3,1)))</f>
        <v/>
      </c>
      <c r="F11" s="12">
        <f>MAX(1,MIN(10,'Race skills'!F10+FLOOR((Attributes!F10-5)/$B$3,1)))</f>
        <v/>
      </c>
      <c r="G11" s="12">
        <f>MAX(1,MIN(10,'Race skills'!G10+FLOOR((Attributes!F10-5)/$B$3,1)))</f>
        <v/>
      </c>
      <c r="H11" s="12">
        <f>MAX(1,MIN(10,'Race skills'!H10+FLOOR((Attributes!F10-5)/$B$3,1)))</f>
        <v/>
      </c>
      <c r="I11" s="12">
        <f>MAX(1,MIN(10,'Race skills'!I10+FLOOR((Attributes!J10-5)/$B$3,1)))</f>
        <v/>
      </c>
      <c r="J11" s="12">
        <f>MAX(1,MIN(10,'Race skills'!J10+FLOOR((Attributes!K10-5)/$B$3,1)))</f>
        <v/>
      </c>
      <c r="K11" s="12">
        <f>MAX(1,MIN(10,'Race skills'!K10+FLOOR((Attributes!J10-5)/$B$3,1)))</f>
        <v/>
      </c>
      <c r="L11" s="12">
        <f>MAX(1,MIN(10,'Race skills'!L10+FLOOR((Attributes!I10-5)/$B$3,1)))</f>
        <v/>
      </c>
      <c r="M11" s="12">
        <f>MAX(1,MIN(10,'Race skills'!M10+FLOOR((Attributes!I10-5)/$B$3,1)))</f>
        <v/>
      </c>
      <c r="N11" s="12">
        <f>MAX(1,MIN(10,'Race skills'!N10+FLOOR((Attributes!L10-5)/$B$3,1)))</f>
        <v/>
      </c>
    </row>
    <row r="12">
      <c r="A12" s="17">
        <f>Attributes!A11</f>
        <v/>
      </c>
      <c r="B12" s="15">
        <f>Attributes!P11</f>
        <v/>
      </c>
      <c r="C12" s="12">
        <f>MAX(1,MIN(10,'Race skills'!C11+FLOOR((Attributes!E11-5)/$B$3,1)))</f>
        <v/>
      </c>
      <c r="D12" s="12">
        <f>MAX(1,MIN(10,'Race skills'!D11+FLOOR((Attributes!E11-5)/$B$3,1)))</f>
        <v/>
      </c>
      <c r="E12" s="12">
        <f>MAX(1,MIN(10,'Race skills'!E11+FLOOR((Attributes!K11-5)/$B$3,1)))</f>
        <v/>
      </c>
      <c r="F12" s="12">
        <f>MAX(1,MIN(10,'Race skills'!F11+FLOOR((Attributes!F11-5)/$B$3,1)))</f>
        <v/>
      </c>
      <c r="G12" s="12">
        <f>MAX(1,MIN(10,'Race skills'!G11+FLOOR((Attributes!F11-5)/$B$3,1)))</f>
        <v/>
      </c>
      <c r="H12" s="12">
        <f>MAX(1,MIN(10,'Race skills'!H11+FLOOR((Attributes!F11-5)/$B$3,1)))</f>
        <v/>
      </c>
      <c r="I12" s="12">
        <f>MAX(1,MIN(10,'Race skills'!I11+FLOOR((Attributes!J11-5)/$B$3,1)))</f>
        <v/>
      </c>
      <c r="J12" s="12">
        <f>MAX(1,MIN(10,'Race skills'!J11+FLOOR((Attributes!K11-5)/$B$3,1)))</f>
        <v/>
      </c>
      <c r="K12" s="12">
        <f>MAX(1,MIN(10,'Race skills'!K11+FLOOR((Attributes!J11-5)/$B$3,1)))</f>
        <v/>
      </c>
      <c r="L12" s="12">
        <f>MAX(1,MIN(10,'Race skills'!L11+FLOOR((Attributes!I11-5)/$B$3,1)))</f>
        <v/>
      </c>
      <c r="M12" s="12">
        <f>MAX(1,MIN(10,'Race skills'!M11+FLOOR((Attributes!I11-5)/$B$3,1)))</f>
        <v/>
      </c>
      <c r="N12" s="12">
        <f>MAX(1,MIN(10,'Race skills'!N11+FLOOR((Attributes!L11-5)/$B$3,1)))</f>
        <v/>
      </c>
    </row>
    <row r="13">
      <c r="A13" s="17">
        <f>Attributes!A12</f>
        <v/>
      </c>
      <c r="B13" s="15">
        <f>Attributes!P12</f>
        <v/>
      </c>
      <c r="C13" s="12">
        <f>MAX(1,MIN(10,'Race skills'!C12+FLOOR((Attributes!E12-5)/$B$3,1)))</f>
        <v/>
      </c>
      <c r="D13" s="12">
        <f>MAX(1,MIN(10,'Race skills'!D12+FLOOR((Attributes!E12-5)/$B$3,1)))</f>
        <v/>
      </c>
      <c r="E13" s="12">
        <f>MAX(1,MIN(10,'Race skills'!E12+FLOOR((Attributes!K12-5)/$B$3,1)))</f>
        <v/>
      </c>
      <c r="F13" s="12">
        <f>MAX(1,MIN(10,'Race skills'!F12+FLOOR((Attributes!F12-5)/$B$3,1)))</f>
        <v/>
      </c>
      <c r="G13" s="12">
        <f>MAX(1,MIN(10,'Race skills'!G12+FLOOR((Attributes!F12-5)/$B$3,1)))</f>
        <v/>
      </c>
      <c r="H13" s="12">
        <f>MAX(1,MIN(10,'Race skills'!H12+FLOOR((Attributes!F12-5)/$B$3,1)))</f>
        <v/>
      </c>
      <c r="I13" s="12">
        <f>MAX(1,MIN(10,'Race skills'!I12+FLOOR((Attributes!J12-5)/$B$3,1)))</f>
        <v/>
      </c>
      <c r="J13" s="12">
        <f>MAX(1,MIN(10,'Race skills'!J12+FLOOR((Attributes!K12-5)/$B$3,1)))</f>
        <v/>
      </c>
      <c r="K13" s="12">
        <f>MAX(1,MIN(10,'Race skills'!K12+FLOOR((Attributes!J12-5)/$B$3,1)))</f>
        <v/>
      </c>
      <c r="L13" s="12">
        <f>MAX(1,MIN(10,'Race skills'!L12+FLOOR((Attributes!I12-5)/$B$3,1)))</f>
        <v/>
      </c>
      <c r="M13" s="12">
        <f>MAX(1,MIN(10,'Race skills'!M12+FLOOR((Attributes!I12-5)/$B$3,1)))</f>
        <v/>
      </c>
      <c r="N13" s="12">
        <f>MAX(1,MIN(10,'Race skills'!N12+FLOOR((Attributes!L12-5)/$B$3,1)))</f>
        <v/>
      </c>
    </row>
    <row r="14">
      <c r="A14" s="17">
        <f>Attributes!A13</f>
        <v/>
      </c>
      <c r="B14" s="15">
        <f>Attributes!P13</f>
        <v/>
      </c>
      <c r="C14" s="12">
        <f>MAX(1,MIN(10,'Race skills'!C13+FLOOR((Attributes!E13-5)/$B$3,1)))</f>
        <v/>
      </c>
      <c r="D14" s="12">
        <f>MAX(1,MIN(10,'Race skills'!D13+FLOOR((Attributes!E13-5)/$B$3,1)))</f>
        <v/>
      </c>
      <c r="E14" s="12">
        <f>MAX(1,MIN(10,'Race skills'!E13+FLOOR((Attributes!K13-5)/$B$3,1)))</f>
        <v/>
      </c>
      <c r="F14" s="12">
        <f>MAX(1,MIN(10,'Race skills'!F13+FLOOR((Attributes!F13-5)/$B$3,1)))</f>
        <v/>
      </c>
      <c r="G14" s="12">
        <f>MAX(1,MIN(10,'Race skills'!G13+FLOOR((Attributes!F13-5)/$B$3,1)))</f>
        <v/>
      </c>
      <c r="H14" s="12">
        <f>MAX(1,MIN(10,'Race skills'!H13+FLOOR((Attributes!F13-5)/$B$3,1)))</f>
        <v/>
      </c>
      <c r="I14" s="12">
        <f>MAX(1,MIN(10,'Race skills'!I13+FLOOR((Attributes!J13-5)/$B$3,1)))</f>
        <v/>
      </c>
      <c r="J14" s="12">
        <f>MAX(1,MIN(10,'Race skills'!J13+FLOOR((Attributes!K13-5)/$B$3,1)))</f>
        <v/>
      </c>
      <c r="K14" s="12">
        <f>MAX(1,MIN(10,'Race skills'!K13+FLOOR((Attributes!J13-5)/$B$3,1)))</f>
        <v/>
      </c>
      <c r="L14" s="12">
        <f>MAX(1,MIN(10,'Race skills'!L13+FLOOR((Attributes!I13-5)/$B$3,1)))</f>
        <v/>
      </c>
      <c r="M14" s="12">
        <f>MAX(1,MIN(10,'Race skills'!M13+FLOOR((Attributes!I13-5)/$B$3,1)))</f>
        <v/>
      </c>
      <c r="N14" s="12">
        <f>MAX(1,MIN(10,'Race skills'!N13+FLOOR((Attributes!L13-5)/$B$3,1)))</f>
        <v/>
      </c>
    </row>
    <row r="15">
      <c r="A15" s="17">
        <f>Attributes!A14</f>
        <v/>
      </c>
      <c r="B15" s="15">
        <f>Attributes!P14</f>
        <v/>
      </c>
      <c r="C15" s="12">
        <f>MAX(1,MIN(10,'Race skills'!C14+FLOOR((Attributes!E14-5)/$B$3,1)))</f>
        <v/>
      </c>
      <c r="D15" s="12">
        <f>MAX(1,MIN(10,'Race skills'!D14+FLOOR((Attributes!E14-5)/$B$3,1)))</f>
        <v/>
      </c>
      <c r="E15" s="12">
        <f>MAX(1,MIN(10,'Race skills'!E14+FLOOR((Attributes!K14-5)/$B$3,1)))</f>
        <v/>
      </c>
      <c r="F15" s="12">
        <f>MAX(1,MIN(10,'Race skills'!F14+FLOOR((Attributes!F14-5)/$B$3,1)))</f>
        <v/>
      </c>
      <c r="G15" s="12">
        <f>MAX(1,MIN(10,'Race skills'!G14+FLOOR((Attributes!F14-5)/$B$3,1)))</f>
        <v/>
      </c>
      <c r="H15" s="12">
        <f>MAX(1,MIN(10,'Race skills'!H14+FLOOR((Attributes!F14-5)/$B$3,1)))</f>
        <v/>
      </c>
      <c r="I15" s="12">
        <f>MAX(1,MIN(10,'Race skills'!I14+FLOOR((Attributes!J14-5)/$B$3,1)))</f>
        <v/>
      </c>
      <c r="J15" s="12">
        <f>MAX(1,MIN(10,'Race skills'!J14+FLOOR((Attributes!K14-5)/$B$3,1)))</f>
        <v/>
      </c>
      <c r="K15" s="12">
        <f>MAX(1,MIN(10,'Race skills'!K14+FLOOR((Attributes!J14-5)/$B$3,1)))</f>
        <v/>
      </c>
      <c r="L15" s="12">
        <f>MAX(1,MIN(10,'Race skills'!L14+FLOOR((Attributes!I14-5)/$B$3,1)))</f>
        <v/>
      </c>
      <c r="M15" s="12">
        <f>MAX(1,MIN(10,'Race skills'!M14+FLOOR((Attributes!I14-5)/$B$3,1)))</f>
        <v/>
      </c>
      <c r="N15" s="12">
        <f>MAX(1,MIN(10,'Race skills'!N14+FLOOR((Attributes!L14-5)/$B$3,1)))</f>
        <v/>
      </c>
    </row>
    <row r="16">
      <c r="A16" s="17">
        <f>Attributes!A15</f>
        <v/>
      </c>
      <c r="B16" s="15">
        <f>Attributes!P15</f>
        <v/>
      </c>
      <c r="C16" s="12">
        <f>MAX(1,MIN(10,'Race skills'!C15+FLOOR((Attributes!E15-5)/$B$3,1)))</f>
        <v/>
      </c>
      <c r="D16" s="12">
        <f>MAX(1,MIN(10,'Race skills'!D15+FLOOR((Attributes!E15-5)/$B$3,1)))</f>
        <v/>
      </c>
      <c r="E16" s="12">
        <f>MAX(1,MIN(10,'Race skills'!E15+FLOOR((Attributes!K15-5)/$B$3,1)))</f>
        <v/>
      </c>
      <c r="F16" s="12">
        <f>MAX(1,MIN(10,'Race skills'!F15+FLOOR((Attributes!F15-5)/$B$3,1)))</f>
        <v/>
      </c>
      <c r="G16" s="12">
        <f>MAX(1,MIN(10,'Race skills'!G15+FLOOR((Attributes!F15-5)/$B$3,1)))</f>
        <v/>
      </c>
      <c r="H16" s="12">
        <f>MAX(1,MIN(10,'Race skills'!H15+FLOOR((Attributes!F15-5)/$B$3,1)))</f>
        <v/>
      </c>
      <c r="I16" s="12">
        <f>MAX(1,MIN(10,'Race skills'!I15+FLOOR((Attributes!J15-5)/$B$3,1)))</f>
        <v/>
      </c>
      <c r="J16" s="12">
        <f>MAX(1,MIN(10,'Race skills'!J15+FLOOR((Attributes!K15-5)/$B$3,1)))</f>
        <v/>
      </c>
      <c r="K16" s="12">
        <f>MAX(1,MIN(10,'Race skills'!K15+FLOOR((Attributes!J15-5)/$B$3,1)))</f>
        <v/>
      </c>
      <c r="L16" s="12">
        <f>MAX(1,MIN(10,'Race skills'!L15+FLOOR((Attributes!I15-5)/$B$3,1)))</f>
        <v/>
      </c>
      <c r="M16" s="12">
        <f>MAX(1,MIN(10,'Race skills'!M15+FLOOR((Attributes!I15-5)/$B$3,1)))</f>
        <v/>
      </c>
      <c r="N16" s="12">
        <f>MAX(1,MIN(10,'Race skills'!N15+FLOOR((Attributes!L15-5)/$B$3,1)))</f>
        <v/>
      </c>
    </row>
    <row r="17">
      <c r="A17" s="17">
        <f>Attributes!A16</f>
        <v/>
      </c>
      <c r="B17" s="15">
        <f>Attributes!P16</f>
        <v/>
      </c>
      <c r="C17" s="12">
        <f>MAX(1,MIN(10,'Race skills'!C16+FLOOR((Attributes!E16-5)/$B$3,1)))</f>
        <v/>
      </c>
      <c r="D17" s="12">
        <f>MAX(1,MIN(10,'Race skills'!D16+FLOOR((Attributes!E16-5)/$B$3,1)))</f>
        <v/>
      </c>
      <c r="E17" s="12">
        <f>MAX(1,MIN(10,'Race skills'!E16+FLOOR((Attributes!K16-5)/$B$3,1)))</f>
        <v/>
      </c>
      <c r="F17" s="12">
        <f>MAX(1,MIN(10,'Race skills'!F16+FLOOR((Attributes!F16-5)/$B$3,1)))</f>
        <v/>
      </c>
      <c r="G17" s="12">
        <f>MAX(1,MIN(10,'Race skills'!G16+FLOOR((Attributes!F16-5)/$B$3,1)))</f>
        <v/>
      </c>
      <c r="H17" s="12">
        <f>MAX(1,MIN(10,'Race skills'!H16+FLOOR((Attributes!F16-5)/$B$3,1)))</f>
        <v/>
      </c>
      <c r="I17" s="12">
        <f>MAX(1,MIN(10,'Race skills'!I16+FLOOR((Attributes!J16-5)/$B$3,1)))</f>
        <v/>
      </c>
      <c r="J17" s="12">
        <f>MAX(1,MIN(10,'Race skills'!J16+FLOOR((Attributes!K16-5)/$B$3,1)))</f>
        <v/>
      </c>
      <c r="K17" s="12">
        <f>MAX(1,MIN(10,'Race skills'!K16+FLOOR((Attributes!J16-5)/$B$3,1)))</f>
        <v/>
      </c>
      <c r="L17" s="12">
        <f>MAX(1,MIN(10,'Race skills'!L16+FLOOR((Attributes!I16-5)/$B$3,1)))</f>
        <v/>
      </c>
      <c r="M17" s="12">
        <f>MAX(1,MIN(10,'Race skills'!M16+FLOOR((Attributes!I16-5)/$B$3,1)))</f>
        <v/>
      </c>
      <c r="N17" s="12">
        <f>MAX(1,MIN(10,'Race skills'!N16+FLOOR((Attributes!L16-5)/$B$3,1)))</f>
        <v/>
      </c>
    </row>
    <row r="18">
      <c r="A18" s="17">
        <f>Attributes!A17</f>
        <v/>
      </c>
      <c r="B18" s="15">
        <f>Attributes!P17</f>
        <v/>
      </c>
      <c r="C18" s="12">
        <f>MAX(1,MIN(10,'Race skills'!C17+FLOOR((Attributes!E17-5)/$B$3,1)))</f>
        <v/>
      </c>
      <c r="D18" s="12">
        <f>MAX(1,MIN(10,'Race skills'!D17+FLOOR((Attributes!E17-5)/$B$3,1)))</f>
        <v/>
      </c>
      <c r="E18" s="12">
        <f>MAX(1,MIN(10,'Race skills'!E17+FLOOR((Attributes!K17-5)/$B$3,1)))</f>
        <v/>
      </c>
      <c r="F18" s="12">
        <f>MAX(1,MIN(10,'Race skills'!F17+FLOOR((Attributes!F17-5)/$B$3,1)))</f>
        <v/>
      </c>
      <c r="G18" s="12">
        <f>MAX(1,MIN(10,'Race skills'!G17+FLOOR((Attributes!F17-5)/$B$3,1)))</f>
        <v/>
      </c>
      <c r="H18" s="12">
        <f>MAX(1,MIN(10,'Race skills'!H17+FLOOR((Attributes!F17-5)/$B$3,1)))</f>
        <v/>
      </c>
      <c r="I18" s="12">
        <f>MAX(1,MIN(10,'Race skills'!I17+FLOOR((Attributes!J17-5)/$B$3,1)))</f>
        <v/>
      </c>
      <c r="J18" s="12">
        <f>MAX(1,MIN(10,'Race skills'!J17+FLOOR((Attributes!K17-5)/$B$3,1)))</f>
        <v/>
      </c>
      <c r="K18" s="12">
        <f>MAX(1,MIN(10,'Race skills'!K17+FLOOR((Attributes!J17-5)/$B$3,1)))</f>
        <v/>
      </c>
      <c r="L18" s="12">
        <f>MAX(1,MIN(10,'Race skills'!L17+FLOOR((Attributes!I17-5)/$B$3,1)))</f>
        <v/>
      </c>
      <c r="M18" s="12">
        <f>MAX(1,MIN(10,'Race skills'!M17+FLOOR((Attributes!I17-5)/$B$3,1)))</f>
        <v/>
      </c>
      <c r="N18" s="12">
        <f>MAX(1,MIN(10,'Race skills'!N17+FLOOR((Attributes!L17-5)/$B$3,1)))</f>
        <v/>
      </c>
    </row>
    <row r="19">
      <c r="A19" s="17">
        <f>Attributes!A18</f>
        <v/>
      </c>
      <c r="B19" s="15">
        <f>Attributes!P18</f>
        <v/>
      </c>
      <c r="C19" s="12">
        <f>MAX(1,MIN(10,'Race skills'!C18+FLOOR((Attributes!E18-5)/$B$3,1)))</f>
        <v/>
      </c>
      <c r="D19" s="12">
        <f>MAX(1,MIN(10,'Race skills'!D18+FLOOR((Attributes!E18-5)/$B$3,1)))</f>
        <v/>
      </c>
      <c r="E19" s="12">
        <f>MAX(1,MIN(10,'Race skills'!E18+FLOOR((Attributes!K18-5)/$B$3,1)))</f>
        <v/>
      </c>
      <c r="F19" s="12">
        <f>MAX(1,MIN(10,'Race skills'!F18+FLOOR((Attributes!F18-5)/$B$3,1)))</f>
        <v/>
      </c>
      <c r="G19" s="12">
        <f>MAX(1,MIN(10,'Race skills'!G18+FLOOR((Attributes!F18-5)/$B$3,1)))</f>
        <v/>
      </c>
      <c r="H19" s="12">
        <f>MAX(1,MIN(10,'Race skills'!H18+FLOOR((Attributes!F18-5)/$B$3,1)))</f>
        <v/>
      </c>
      <c r="I19" s="12">
        <f>MAX(1,MIN(10,'Race skills'!I18+FLOOR((Attributes!J18-5)/$B$3,1)))</f>
        <v/>
      </c>
      <c r="J19" s="12">
        <f>MAX(1,MIN(10,'Race skills'!J18+FLOOR((Attributes!K18-5)/$B$3,1)))</f>
        <v/>
      </c>
      <c r="K19" s="12">
        <f>MAX(1,MIN(10,'Race skills'!K18+FLOOR((Attributes!J18-5)/$B$3,1)))</f>
        <v/>
      </c>
      <c r="L19" s="12">
        <f>MAX(1,MIN(10,'Race skills'!L18+FLOOR((Attributes!I18-5)/$B$3,1)))</f>
        <v/>
      </c>
      <c r="M19" s="12">
        <f>MAX(1,MIN(10,'Race skills'!M18+FLOOR((Attributes!I18-5)/$B$3,1)))</f>
        <v/>
      </c>
      <c r="N19" s="12">
        <f>MAX(1,MIN(10,'Race skills'!N18+FLOOR((Attributes!L18-5)/$B$3,1)))</f>
        <v/>
      </c>
    </row>
    <row r="20">
      <c r="A20" s="17">
        <f>Attributes!A19</f>
        <v/>
      </c>
      <c r="B20" s="15">
        <f>Attributes!P19</f>
        <v/>
      </c>
      <c r="C20" s="12">
        <f>MAX(1,MIN(10,'Race skills'!C19+FLOOR((Attributes!E19-5)/$B$3,1)))</f>
        <v/>
      </c>
      <c r="D20" s="12">
        <f>MAX(1,MIN(10,'Race skills'!D19+FLOOR((Attributes!E19-5)/$B$3,1)))</f>
        <v/>
      </c>
      <c r="E20" s="12">
        <f>MAX(1,MIN(10,'Race skills'!E19+FLOOR((Attributes!K19-5)/$B$3,1)))</f>
        <v/>
      </c>
      <c r="F20" s="12">
        <f>MAX(1,MIN(10,'Race skills'!F19+FLOOR((Attributes!F19-5)/$B$3,1)))</f>
        <v/>
      </c>
      <c r="G20" s="12">
        <f>MAX(1,MIN(10,'Race skills'!G19+FLOOR((Attributes!F19-5)/$B$3,1)))</f>
        <v/>
      </c>
      <c r="H20" s="12">
        <f>MAX(1,MIN(10,'Race skills'!H19+FLOOR((Attributes!F19-5)/$B$3,1)))</f>
        <v/>
      </c>
      <c r="I20" s="12">
        <f>MAX(1,MIN(10,'Race skills'!I19+FLOOR((Attributes!J19-5)/$B$3,1)))</f>
        <v/>
      </c>
      <c r="J20" s="12">
        <f>MAX(1,MIN(10,'Race skills'!J19+FLOOR((Attributes!K19-5)/$B$3,1)))</f>
        <v/>
      </c>
      <c r="K20" s="12">
        <f>MAX(1,MIN(10,'Race skills'!K19+FLOOR((Attributes!J19-5)/$B$3,1)))</f>
        <v/>
      </c>
      <c r="L20" s="12">
        <f>MAX(1,MIN(10,'Race skills'!L19+FLOOR((Attributes!I19-5)/$B$3,1)))</f>
        <v/>
      </c>
      <c r="M20" s="12">
        <f>MAX(1,MIN(10,'Race skills'!M19+FLOOR((Attributes!I19-5)/$B$3,1)))</f>
        <v/>
      </c>
      <c r="N20" s="12">
        <f>MAX(1,MIN(10,'Race skills'!N19+FLOOR((Attributes!L19-5)/$B$3,1)))</f>
        <v/>
      </c>
    </row>
    <row r="21">
      <c r="A21" s="17">
        <f>Attributes!A20</f>
        <v/>
      </c>
      <c r="B21" s="15">
        <f>Attributes!P20</f>
        <v/>
      </c>
      <c r="C21" s="12">
        <f>MAX(1,MIN(10,'Race skills'!C20+FLOOR((Attributes!E20-5)/$B$3,1)))</f>
        <v/>
      </c>
      <c r="D21" s="12">
        <f>MAX(1,MIN(10,'Race skills'!D20+FLOOR((Attributes!E20-5)/$B$3,1)))</f>
        <v/>
      </c>
      <c r="E21" s="12">
        <f>MAX(1,MIN(10,'Race skills'!E20+FLOOR((Attributes!K20-5)/$B$3,1)))</f>
        <v/>
      </c>
      <c r="F21" s="12">
        <f>MAX(1,MIN(10,'Race skills'!F20+FLOOR((Attributes!F20-5)/$B$3,1)))</f>
        <v/>
      </c>
      <c r="G21" s="12">
        <f>MAX(1,MIN(10,'Race skills'!G20+FLOOR((Attributes!F20-5)/$B$3,1)))</f>
        <v/>
      </c>
      <c r="H21" s="12">
        <f>MAX(1,MIN(10,'Race skills'!H20+FLOOR((Attributes!F20-5)/$B$3,1)))</f>
        <v/>
      </c>
      <c r="I21" s="12">
        <f>MAX(1,MIN(10,'Race skills'!I20+FLOOR((Attributes!J20-5)/$B$3,1)))</f>
        <v/>
      </c>
      <c r="J21" s="12">
        <f>MAX(1,MIN(10,'Race skills'!J20+FLOOR((Attributes!K20-5)/$B$3,1)))</f>
        <v/>
      </c>
      <c r="K21" s="12">
        <f>MAX(1,MIN(10,'Race skills'!K20+FLOOR((Attributes!J20-5)/$B$3,1)))</f>
        <v/>
      </c>
      <c r="L21" s="12">
        <f>MAX(1,MIN(10,'Race skills'!L20+FLOOR((Attributes!I20-5)/$B$3,1)))</f>
        <v/>
      </c>
      <c r="M21" s="12">
        <f>MAX(1,MIN(10,'Race skills'!M20+FLOOR((Attributes!I20-5)/$B$3,1)))</f>
        <v/>
      </c>
      <c r="N21" s="12">
        <f>MAX(1,MIN(10,'Race skills'!N20+FLOOR((Attributes!L20-5)/$B$3,1)))</f>
        <v/>
      </c>
    </row>
    <row r="22">
      <c r="A22" s="17">
        <f>Attributes!A21</f>
        <v/>
      </c>
      <c r="B22" s="15">
        <f>Attributes!P21</f>
        <v/>
      </c>
      <c r="C22" s="12">
        <f>MAX(1,MIN(10,'Race skills'!C21+FLOOR((Attributes!E21-5)/$B$3,1)))</f>
        <v/>
      </c>
      <c r="D22" s="12">
        <f>MAX(1,MIN(10,'Race skills'!D21+FLOOR((Attributes!E21-5)/$B$3,1)))</f>
        <v/>
      </c>
      <c r="E22" s="12">
        <f>MAX(1,MIN(10,'Race skills'!E21+FLOOR((Attributes!K21-5)/$B$3,1)))</f>
        <v/>
      </c>
      <c r="F22" s="12">
        <f>MAX(1,MIN(10,'Race skills'!F21+FLOOR((Attributes!F21-5)/$B$3,1)))</f>
        <v/>
      </c>
      <c r="G22" s="12">
        <f>MAX(1,MIN(10,'Race skills'!G21+FLOOR((Attributes!F21-5)/$B$3,1)))</f>
        <v/>
      </c>
      <c r="H22" s="12">
        <f>MAX(1,MIN(10,'Race skills'!H21+FLOOR((Attributes!F21-5)/$B$3,1)))</f>
        <v/>
      </c>
      <c r="I22" s="12">
        <f>MAX(1,MIN(10,'Race skills'!I21+FLOOR((Attributes!J21-5)/$B$3,1)))</f>
        <v/>
      </c>
      <c r="J22" s="12">
        <f>MAX(1,MIN(10,'Race skills'!J21+FLOOR((Attributes!K21-5)/$B$3,1)))</f>
        <v/>
      </c>
      <c r="K22" s="12">
        <f>MAX(1,MIN(10,'Race skills'!K21+FLOOR((Attributes!J21-5)/$B$3,1)))</f>
        <v/>
      </c>
      <c r="L22" s="12">
        <f>MAX(1,MIN(10,'Race skills'!L21+FLOOR((Attributes!I21-5)/$B$3,1)))</f>
        <v/>
      </c>
      <c r="M22" s="12">
        <f>MAX(1,MIN(10,'Race skills'!M21+FLOOR((Attributes!I21-5)/$B$3,1)))</f>
        <v/>
      </c>
      <c r="N22" s="12">
        <f>MAX(1,MIN(10,'Race skills'!N21+FLOOR((Attributes!L21-5)/$B$3,1)))</f>
        <v/>
      </c>
    </row>
    <row r="25">
      <c r="A25" s="3" t="inlineStr">
        <is>
          <t>Reading this sheet</t>
        </is>
      </c>
    </row>
    <row r="26">
      <c r="A26" s="2" t="inlineStr">
        <is>
          <t>A Gray Dwarf's Mining should clearly beat a Skeleton Worker's — that gap is the whole reason to recruit one.</t>
        </is>
      </c>
    </row>
    <row r="27">
      <c r="A27" s="2" t="inlineStr">
        <is>
          <t>An Ogre's Mining climbing near a dwarf's is intended: he hauls more per trip but eats 3.0 food to the dwarf's 1.0.</t>
        </is>
      </c>
    </row>
    <row r="28">
      <c r="A28" s="2" t="inlineStr">
        <is>
          <t>Clamped to 1-10. The floor of 1 is NOT cosmetic: gather time is 4.0s x 5 / skill, so a 0 divides by zero,</t>
        </is>
      </c>
    </row>
    <row r="29">
      <c r="A29" s="2" t="inlineStr">
        <is>
          <t>and a low template value plus a -2 attribute modifier reaches 0 easily (a Skeleton Worker's Research would be -1).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7" customWidth="1" min="1" max="1"/>
    <col width="95" customWidth="1" min="2" max="2"/>
  </cols>
  <sheetData>
    <row r="1">
      <c r="A1" s="1" t="inlineStr">
        <is>
          <t>How to use this workbook</t>
        </is>
      </c>
    </row>
    <row r="2">
      <c r="A2" s="18" t="inlineStr"/>
      <c r="B2" s="18" t="inlineStr"/>
    </row>
    <row r="3">
      <c r="A3" s="3" t="inlineStr">
        <is>
          <t>Colour</t>
        </is>
      </c>
      <c r="B3" s="3" t="inlineStr">
        <is>
          <t>Meaning</t>
        </is>
      </c>
    </row>
    <row r="4">
      <c r="A4" s="18" t="inlineStr">
        <is>
          <t>Blue text</t>
        </is>
      </c>
      <c r="B4" s="18" t="inlineStr">
        <is>
          <t>Hand-authored input. These are the only cells to edit.</t>
        </is>
      </c>
    </row>
    <row r="5">
      <c r="A5" s="18" t="inlineStr">
        <is>
          <t>Shaded + blue</t>
        </is>
      </c>
      <c r="B5" s="18" t="inlineStr">
        <is>
          <t>A per-race override on the Race skills sheet.</t>
        </is>
      </c>
    </row>
    <row r="6">
      <c r="A6" s="18" t="inlineStr">
        <is>
          <t>Green text</t>
        </is>
      </c>
      <c r="B6" s="18" t="inlineStr">
        <is>
          <t>A live link to another sheet. Don't type over it.</t>
        </is>
      </c>
    </row>
    <row r="7">
      <c r="A7" s="18" t="inlineStr">
        <is>
          <t>Black text</t>
        </is>
      </c>
      <c r="B7" s="18" t="inlineStr">
        <is>
          <t>A formula. Don't type over it.</t>
        </is>
      </c>
    </row>
    <row r="8">
      <c r="A8" s="18" t="inlineStr">
        <is>
          <t>Yellow fill</t>
        </is>
      </c>
      <c r="B8" s="18" t="inlineStr">
        <is>
          <t>The derivation divisor on Effective skills — the main balance knob.</t>
        </is>
      </c>
    </row>
    <row r="9">
      <c r="A9" s="18" t="inlineStr"/>
      <c r="B9" s="18" t="inlineStr"/>
    </row>
    <row r="10">
      <c r="A10" s="3" t="inlineStr">
        <is>
          <t>Sheet</t>
        </is>
      </c>
      <c r="B10" s="3" t="inlineStr">
        <is>
          <t>What it is</t>
        </is>
      </c>
    </row>
    <row r="11">
      <c r="A11" s="18" t="inlineStr">
        <is>
          <t>Attributes</t>
        </is>
      </c>
      <c r="B11" s="18" t="inlineStr">
        <is>
          <t>153 hand-authored values: 9 attributes x 17 races. Step 1 of COMBAT_SPEC section 12.</t>
        </is>
      </c>
    </row>
    <row r="12">
      <c r="A12" s="18" t="inlineStr">
        <is>
          <t>Skill templates</t>
        </is>
      </c>
      <c r="B12" s="18" t="inlineStr">
        <is>
          <t>Six templates x 12 skills, plus the governing-attribute map. Step 2.</t>
        </is>
      </c>
    </row>
    <row r="13">
      <c r="A13" s="18" t="inlineStr">
        <is>
          <t>Race skills</t>
        </is>
      </c>
      <c r="B13" s="18" t="inlineStr">
        <is>
          <t>Template + overrides. Only the shaded cells were authored by hand.</t>
        </is>
      </c>
    </row>
    <row r="14">
      <c r="A14" s="18" t="inlineStr">
        <is>
          <t>Effective skills</t>
        </is>
      </c>
      <c r="B14" s="18" t="inlineStr">
        <is>
          <t>What the game uses. Fully derived — nothing to edit but the divisor.</t>
        </is>
      </c>
    </row>
    <row r="15">
      <c r="A15" s="18" t="inlineStr"/>
      <c r="B15" s="18" t="inlineStr"/>
    </row>
    <row r="16">
      <c r="A16" s="3" t="inlineStr">
        <is>
          <t>Order of work</t>
        </is>
      </c>
      <c r="B16" s="3" t="inlineStr"/>
    </row>
    <row r="17">
      <c r="A17" s="18" t="inlineStr">
        <is>
          <t>1</t>
        </is>
      </c>
      <c r="B17" s="18" t="inlineStr">
        <is>
          <t>Edit Attributes until each race feels right. Watch max hp and attack profile update.</t>
        </is>
      </c>
    </row>
    <row r="18">
      <c r="A18" s="18" t="inlineStr">
        <is>
          <t>2</t>
        </is>
      </c>
      <c r="B18" s="18" t="inlineStr">
        <is>
          <t>Edit Skill templates until each archetype feels right.</t>
        </is>
      </c>
    </row>
    <row r="19">
      <c r="A19" s="18" t="inlineStr">
        <is>
          <t>3</t>
        </is>
      </c>
      <c r="B19" s="18" t="inlineStr">
        <is>
          <t>Add or remove overrides on Race skills only where a template genuinely fails a race.</t>
        </is>
      </c>
    </row>
    <row r="20">
      <c r="A20" s="18" t="inlineStr">
        <is>
          <t>4</t>
        </is>
      </c>
      <c r="B20" s="18" t="inlineStr">
        <is>
          <t>Read Effective skills to check no race strictly dominates another.</t>
        </is>
      </c>
    </row>
    <row r="21">
      <c r="A21" s="18" t="inlineStr">
        <is>
          <t>5</t>
        </is>
      </c>
      <c r="B21" s="18" t="inlineStr">
        <is>
          <t>Export to data/races.json. Templates and overrides should live in the JSON, not in code.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2026-08-03T03:35:16Z</dcterms:created>
  <dcterms:modified xmlns:dcterms="http://purl.org/dc/terms/" xmlns:xsi="http://www.w3.org/2001/XMLSchema-instance" xsi:type="dcterms:W3CDTF">2026-08-03T03:35:16Z</dcterms:modified>
</cp:coreProperties>
</file>